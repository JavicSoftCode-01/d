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firstSheet="2" activeTab="1" tabRatio="500"/>
  </bookViews>
  <sheets>
    <sheet r:id="rId1" name="FICHA DE SERVICIO" sheetId="1"/>
    <sheet r:id="rId2" name="Checklist_Control_Interno" sheetId="2"/>
    <sheet r:id="rId3" name="Checklist_Cliente" sheetId="3"/>
    <sheet r:id="rId4" name="MAPA DE PROCESOS " sheetId="4"/>
    <sheet r:id="rId5" name="TABLA DE DATOS" sheetId="5"/>
  </sheets>
  <calcPr calcId="0" iterateCount="100" iterateDelta="0.001"/>
</workbook>
</file>

<file path=xl/sharedStrings.xml><?xml version="1.0" encoding="utf-8"?>
<sst xmlns="http://schemas.openxmlformats.org/spreadsheetml/2006/main" count="506" uniqueCount="506">
  <si>
    <t>1 FICHA DE ESPECIFICACIÓN DE SERVICIO</t>
  </si>
  <si>
    <t>1. DATOS GENERALES</t>
  </si>
  <si>
    <t>Nombre del servicio:</t>
  </si>
  <si>
    <t>Uñas Acrílicas Baby Boomer</t>
  </si>
  <si>
    <t>Código:</t>
  </si>
  <si>
    <t>0004</t>
  </si>
  <si>
    <t>Responsable:</t>
  </si>
  <si>
    <t xml:space="preserve">Génesis Balla </t>
  </si>
  <si>
    <t>Fecha de elaboración:</t>
  </si>
  <si>
    <t>5 de mayo</t>
  </si>
  <si>
    <t>2. DESCRIPCIÓN DEL SERVICIO</t>
  </si>
  <si>
    <t>Detalle del servicio:</t>
  </si>
  <si>
    <t>Aplicación de uñas acrílicas con efecto Baby Boomer, caracterizado por un degradado suave entre tonos nude y blanco, proporcionando una apariencia elegante, natural y moderna</t>
  </si>
  <si>
    <t>3. REQUISITOS DEL CLIENTE</t>
  </si>
  <si>
    <t>Resultado esperado:</t>
  </si>
  <si>
    <t>Apariencia natural, elegante y uniforme con acabado brillante.</t>
  </si>
  <si>
    <t>Tiempo máximo aceptable:</t>
  </si>
  <si>
    <t>2 horas</t>
  </si>
  <si>
    <t>Preferencias:</t>
  </si>
  <si>
    <t>Tonos suaves, diseño delicado, largo y forma según la elección del cliente.</t>
  </si>
  <si>
    <t>Condiciones previas del cliente:</t>
  </si>
  <si>
    <t>Uñas naturales limpias
Sin infecciones ni heridas en manos o uñas
Retiro previo de esmalte o acrílico anterior (si aplica)</t>
  </si>
  <si>
    <t>4. INSUMOS Y HERRAMIENTAS</t>
  </si>
  <si>
    <t>Insumo 1:</t>
  </si>
  <si>
    <t>Acrílico nude
Acrílico blanco
Monómero
Primer y deshidratador
Tips o moldes
Pegamento para tips
Top coat brillante
Aceite de cutícula</t>
  </si>
  <si>
    <t>Insumo 2:</t>
  </si>
  <si>
    <t>Pinceles para acrílico
Limas y buffer
Corta tips
Torno eléctrico (opcional)
Lámpara UV/LED
Empujador de cutícula
Cepillo limpiador</t>
  </si>
  <si>
    <t>Insumo 3:</t>
  </si>
  <si>
    <t>Alcohol o desinfectante
Guantes
Toallas desechables
Esterilizador de herramientas</t>
  </si>
  <si>
    <t>5. PROCEDIMIENTO ESTÁNDAR</t>
  </si>
  <si>
    <t>Paso 1:</t>
  </si>
  <si>
    <t>Desinfectar manos y herramientas.
Retirar residuos o esmalte anterior.
Preparar la uña natural retirando brillo y cutícula.</t>
  </si>
  <si>
    <t>Paso 2:</t>
  </si>
  <si>
    <t xml:space="preserve">Colocar tips o moldes según el largo deseado.
Aplicar primer y acrílico nude como base </t>
  </si>
  <si>
    <t>Paso 3:</t>
  </si>
  <si>
    <t>Aplicar acrílico blanco en la punta.
Difuminar cuidadosamente para lograr el efecto degradado</t>
  </si>
  <si>
    <t>Paso 4:</t>
  </si>
  <si>
    <t>Dar forma y grosor uniforme a todas las uñas.
Corregir imperfecciones con lima o torno.
Aplicar top coat brillante.
Curar en lámpara UV/LED.
Aplicar aceite de cutícula.</t>
  </si>
  <si>
    <t>6. TIEMPO ESTÁNDAR</t>
  </si>
  <si>
    <t>Duración mínima:</t>
  </si>
  <si>
    <t xml:space="preserve">1 hora 30 minutos </t>
  </si>
  <si>
    <t>Duración máxima:</t>
  </si>
  <si>
    <t xml:space="preserve">2 horas </t>
  </si>
  <si>
    <t>7. CRITERIOS DE CALIDAD</t>
  </si>
  <si>
    <t>Acabado:</t>
  </si>
  <si>
    <t>Degradado suave, limpio y brillante.</t>
  </si>
  <si>
    <t>Uniformidad:</t>
  </si>
  <si>
    <t>Igual intensidad de color, tamaño y forma en todas las uñas.</t>
  </si>
  <si>
    <t>Resistencia</t>
  </si>
  <si>
    <t>Acrílico correctamente adherido y sin levantamientos</t>
  </si>
  <si>
    <t>Higiene:</t>
  </si>
  <si>
    <t>Área limpia, herramientas esterilizadas y correcta desinfección</t>
  </si>
  <si>
    <t>Comodidad del cliente:</t>
  </si>
  <si>
    <t>Proceso realizado sin causar molestias o dolor.</t>
  </si>
  <si>
    <t xml:space="preserve">Área y herramientas limpias y esterilizadas </t>
  </si>
  <si>
    <t>8. TOLERANCIAS</t>
  </si>
  <si>
    <t>Descripción:</t>
  </si>
  <si>
    <t>Variación mínima en el degradado debido al trabajo manual.
Diferencia leve en tonalidad según iluminación.
Margen máximo de diferencia de longitud: 1 mm entre uñas</t>
  </si>
  <si>
    <t>9. CRITERIOS DE ACEPTACIÓN</t>
  </si>
  <si>
    <t>✔ Cliente satisfecho</t>
  </si>
  <si>
    <t>✔ Inspección visual conforme</t>
  </si>
  <si>
    <t>✓degradado uniforme</t>
  </si>
  <si>
    <t>✓sin burbujas ni levantamientos</t>
  </si>
  <si>
    <t>✔ Cumple tiempo establecido</t>
  </si>
  <si>
    <t>✓acabado brillante y limpio</t>
  </si>
  <si>
    <t>10. OBSERVACIONES</t>
  </si>
  <si>
    <t>Diseño ideal para uso diario, oficina o eventos formales.
Se recomienda mantenimiento cada 15 a 21 días.
Evitar el contacto prolongado con químicos fuertes para mayor duración.</t>
  </si>
  <si>
    <t>Responsable</t>
  </si>
  <si>
    <t xml:space="preserve">Aprobado por </t>
  </si>
  <si>
    <t>GENESIS BALLA</t>
  </si>
  <si>
    <t>NAGELY MEJÍA</t>
  </si>
  <si>
    <t>JULEXIS RONQUILLO</t>
  </si>
  <si>
    <t>MILENA VALLEJO</t>
  </si>
  <si>
    <t>LISSETTE YEPEZ</t>
  </si>
  <si>
    <t>1 CHECKLIST DE CONTROL INTERNO DE SERVICIO</t>
  </si>
  <si>
    <t>Servicio: Uñas Acrílicas Baby Boomer</t>
  </si>
  <si>
    <t xml:space="preserve">Fecha: 5 de mayo </t>
  </si>
  <si>
    <t>Responsable: Genesis Balla</t>
  </si>
  <si>
    <t>CRITERIO</t>
  </si>
  <si>
    <t>Cumple (si/no)</t>
  </si>
  <si>
    <t xml:space="preserve">Calificacion   1 a 5 </t>
  </si>
  <si>
    <t xml:space="preserve">Observaciones </t>
  </si>
  <si>
    <t>Área limpia antes de iniciar</t>
  </si>
  <si>
    <t>si</t>
  </si>
  <si>
    <t>Área completamente desinfectada</t>
  </si>
  <si>
    <t>Herramientas esterilizadas</t>
  </si>
  <si>
    <t>Herramientas en buen estado</t>
  </si>
  <si>
    <t>Diagnóstico realizado</t>
  </si>
  <si>
    <t>Faltó preguntar sobre sensibilidad</t>
  </si>
  <si>
    <t>Uso correcto de productos</t>
  </si>
  <si>
    <t>Buena aplicación del acrílico</t>
  </si>
  <si>
    <t>Cumplimiento del procedimiento</t>
  </si>
  <si>
    <t>Procedimiento correcto</t>
  </si>
  <si>
    <t>Tiempo dentro del estándar</t>
  </si>
  <si>
    <t>no</t>
  </si>
  <si>
    <t>Se tardó 10 minutos más</t>
  </si>
  <si>
    <t>Resultado uniforme</t>
  </si>
  <si>
    <t>Leve diferencia en el degradado</t>
  </si>
  <si>
    <t>Cliente satisfecho</t>
  </si>
  <si>
    <t xml:space="preserve">si </t>
  </si>
  <si>
    <t>Cliente conforme</t>
  </si>
  <si>
    <t xml:space="preserve">TOTAL : </t>
  </si>
  <si>
    <r>
      <rPr>
        <color theme="1"/>
        <rFont val="Calibri"/>
        <sz val="11"/>
      </rPr>
      <t>OBSERVACIONES</t>
    </r>
    <r>
      <rPr>
        <color theme="1"/>
        <rFont val="Calibri"/>
        <sz val="11"/>
      </rPr>
      <t>: Se recomienda mejorar la técnica de difuminado para mayor uniformidad.</t>
    </r>
  </si>
  <si>
    <t>2 CHECKLIST DE CONTROL INTERNO DE SERVICIO</t>
  </si>
  <si>
    <t xml:space="preserve">Fecha: 6 de mayo </t>
  </si>
  <si>
    <t xml:space="preserve">Responsable: Génesis Balla </t>
  </si>
  <si>
    <t>Espacio ordenado</t>
  </si>
  <si>
    <t xml:space="preserve">Esterilización adecuada </t>
  </si>
  <si>
    <t>Cliente asesorada correctamente</t>
  </si>
  <si>
    <t>Exceso minimo de producto</t>
  </si>
  <si>
    <t>Retraso en sellado final</t>
  </si>
  <si>
    <t>Se terminó el servicio 10 minutos antes del tiempo máximo</t>
  </si>
  <si>
    <t>Excelente degradado</t>
  </si>
  <si>
    <t xml:space="preserve">cliente satisfecho </t>
  </si>
  <si>
    <t>OBSERVACIONES:</t>
  </si>
  <si>
    <t>Mejorar la cantidad de producto utilizado para evitar exceso de grosor.</t>
  </si>
  <si>
    <t>3 CHECKLIST DE CONTROL INTERNO DE SERVICIO</t>
  </si>
  <si>
    <t xml:space="preserve">Servicio: uñas baby boomer </t>
  </si>
  <si>
    <t xml:space="preserve">Fecha: 7 mayo </t>
  </si>
  <si>
    <t>Área limpia pero poco organizada</t>
  </si>
  <si>
    <t>Material correctamente esterilizado</t>
  </si>
  <si>
    <t>Diagnóstico rápido</t>
  </si>
  <si>
    <t>Aplicación correcta</t>
  </si>
  <si>
    <t>Difuminado tomó más tiempo</t>
  </si>
  <si>
    <t>exceso de 20 minutos</t>
  </si>
  <si>
    <t>Una uña con degradado más intenso</t>
  </si>
  <si>
    <t>Cliente sugirió más brillo</t>
  </si>
  <si>
    <t xml:space="preserve">TOTAL </t>
  </si>
  <si>
    <t>Se recomienda mejorar la administración del tiempo y perfeccionar el acabado final.</t>
  </si>
  <si>
    <t>4 CHECKLIST DE CONTROL  INTERNO DE SERVICIO</t>
  </si>
  <si>
    <t xml:space="preserve">Servicio: uñas acrílicas baby boomer </t>
  </si>
  <si>
    <t xml:space="preserve">Fecha: 8 de mayo </t>
  </si>
  <si>
    <t>Responsable: Génesis Balla</t>
  </si>
  <si>
    <t>Buena higiene</t>
  </si>
  <si>
    <t xml:space="preserve">correcta desinfección </t>
  </si>
  <si>
    <t>Excelente atención al cliente</t>
  </si>
  <si>
    <t xml:space="preserve">técnica adecuada </t>
  </si>
  <si>
    <t>Servicio completo</t>
  </si>
  <si>
    <t>Se terminó el servicio 15 minutos antes del tiempo máximo</t>
  </si>
  <si>
    <t>Degradado uniforme</t>
  </si>
  <si>
    <t xml:space="preserve">cliente totalmente satisfecho </t>
  </si>
  <si>
    <t>Excelente servicio y acabado profesional</t>
  </si>
  <si>
    <t>5 CHECKLIST DE CONTROL INTERNO DE SERVICIO</t>
  </si>
  <si>
    <t xml:space="preserve">Fecha: 9 de mayo </t>
  </si>
  <si>
    <t>Área higienizada</t>
  </si>
  <si>
    <t xml:space="preserve">faltó organizar algunos materiales </t>
  </si>
  <si>
    <t>Buena comunicación con cliente</t>
  </si>
  <si>
    <t xml:space="preserve">difuminado ligeramente desigual </t>
  </si>
  <si>
    <t>Retraso leve  de 5 minutos del tiempo máximo</t>
  </si>
  <si>
    <t>Diferencia mínima entre uñas</t>
  </si>
  <si>
    <t xml:space="preserve">cliente parcialmente satisfecho </t>
  </si>
  <si>
    <t>Mejorar la organización del área de trabajo y la uniformidad del degradado.</t>
  </si>
  <si>
    <t>6 CHECKLIST DE CONTROL INTERNO DE SERVICIO</t>
  </si>
  <si>
    <t>Fecha: 11 de mayo</t>
  </si>
  <si>
    <t>Limpié y desinfecté toda la zona de trabajo antes de que llegara la clienta, todo en orden</t>
  </si>
  <si>
    <t>Todo el instrumental fue desinfectado en calor y productos, cumpliendo norma sanitaria</t>
  </si>
  <si>
    <t>Evalué el estado de sus uñas naturales y le expliqué el proceso, respondí sus dudas</t>
  </si>
  <si>
    <t>Usé los materiales en las cantidades y tiempos adecuados, buena adherencia</t>
  </si>
  <si>
    <t>Seguí todos los pasos técnicos correctamente, desde la preparación hasta el acabado</t>
  </si>
  <si>
    <t>Me tomó 10 minutos más de lo planeado porque sus uñas necesitaban más preparación</t>
  </si>
  <si>
    <t>Logré que el degradado y la forma quedaran iguales en las 10 uñas</t>
  </si>
  <si>
    <t>No se vio demasiado satisfecha, aunque le agradó el resultado final</t>
  </si>
  <si>
    <t>Buen trabajo en general. Debo mejorar la gestión del tiempo cuando las uñas naturales están más débiles.</t>
  </si>
  <si>
    <t>7 CHECKLIST DE CONTROL INTERNO DE SERVICIO</t>
  </si>
  <si>
    <t>Espacio limpio, aunque olvidé ordenar un poco los frascos de producto al inicio</t>
  </si>
  <si>
    <t>Todo desinfectado correctamente y guardado en lugar seguro</t>
  </si>
  <si>
    <t>Analicé detalladamente su tipo de uña y le recomendé el largo ideal para ella</t>
  </si>
  <si>
    <t>La aplicación fue buena, aunque el esmalte quedó un poquito más grueso en una zona</t>
  </si>
  <si>
    <t>Seguí el paso a paso establecido sin saltar ninguna etapa de seguridad</t>
  </si>
  <si>
    <t>Terminé justo en el tiempo estimado, buena fluidez en el trabajo</t>
  </si>
  <si>
    <t>El diseño quedó muy bien, solo una uña quedó con la línea de sonrisa un poquito menos definida</t>
  </si>
  <si>
    <t>Le gustó el trabajo, aunque noté que miró con cuidado la uña que mencioné</t>
  </si>
  <si>
    <t>Buena atención. Debo tener más cuidado al momento de delinear la sonrisa para que quede perfecta en todas.</t>
  </si>
  <si>
    <t>8 CHECKLIST DE CONTROL INTERNO DE SERVICIO</t>
  </si>
  <si>
    <t>Fecha:  11 de mayo</t>
  </si>
  <si>
    <t>Todo impecable, limpio y bien iluminado, ambiente agradable</t>
  </si>
  <si>
    <t>Cumplí con todo el protocolo de higiene y desinfección</t>
  </si>
  <si>
    <t>Pregunté lo necesario, pero la clienta dudaba mucho, me costó entender bien lo que quería</t>
  </si>
  <si>
    <t>Usé bien los materiales, pero noté que la mezcla quedó un poco seca en el proceso</t>
  </si>
  <si>
    <t>Hice todo correcto, aunque tuve que corregir un par de veces la forma</t>
  </si>
  <si>
    <t>Me retrasé casi 20 minutos por las correcciones y dudas de la clienta</t>
  </si>
  <si>
    <t>Quedaron bien, pero se notó un poco de diferencia en el tono del degradado entre algunas uñas</t>
  </si>
  <si>
    <t>Quedó conforme, pero vi que no estaba 100% segura del resultado al final</t>
  </si>
  <si>
    <t>Fue un trabajo difícil por las dudas de la clienta. Debo mejorar la técnica de mezcla y explicar mejor mientras trabajo para evitar correcciones tardías.</t>
  </si>
  <si>
    <t>9 CHECKLIST DE CONTROL INTERNO DE SERVICIO</t>
  </si>
  <si>
    <t>Fecha: 12 de mayo</t>
  </si>
  <si>
    <t>Zona de trabajo muy limpia, organizada y lista para empezar</t>
  </si>
  <si>
    <t>Todo el material desinfectado y listo, sin errores en este punto</t>
  </si>
  <si>
    <t>Muy buena comunicación, entendí rápido lo que quería y le di recomendaciones útiles</t>
  </si>
  <si>
    <t>Aplicación perfecta, proporciones exactas, acabado muy suave</t>
  </si>
  <si>
    <t>Seguí el proceso completo y técnico sin fallos, todo muy profesional</t>
  </si>
  <si>
    <t>Ritmo de trabajo muy bueno, terminé incluso 10 minutos antes de lo esperado</t>
  </si>
  <si>
    <t>Resultado excelente, todas las uñas idénticas, forma y diseño perfectos</t>
  </si>
  <si>
    <t>La clienta quedó encantada, muy feliz con el resultado y el trato recibido</t>
  </si>
  <si>
    <t>Servicio impecable, todo salió como lo planeé. Mejorar siempre es el objetivo, pero este fue un trabajo de mucha calidad.</t>
  </si>
  <si>
    <t>10 CHECKLIST DE CONTROL INTERNO DE SERVICIO</t>
  </si>
  <si>
    <t xml:space="preserve">Fecha: 13 de mayo </t>
  </si>
  <si>
    <t>Si</t>
  </si>
  <si>
    <t>Área limpia aunque faltó organizar algunos materiales</t>
  </si>
  <si>
    <t>Material limpio pero faltó revisar un utensilio</t>
  </si>
  <si>
    <t>Diagnóstico rápido pero adecuado</t>
  </si>
  <si>
    <t>Aplicación correcta y uniforme</t>
  </si>
  <si>
    <t>Procedimiento realizado correctamente</t>
  </si>
  <si>
    <t>Terminé el servicio 5 minutos antes del tiempo máximo</t>
  </si>
  <si>
    <t>Resultado uniforme y profesional</t>
  </si>
  <si>
    <t>Cliente satisfecha con el servicio</t>
  </si>
  <si>
    <t>Buen servicio en general. Se recomienda seguir mejorando la velocidad del difuminado.</t>
  </si>
  <si>
    <t>11 CHECKLIST DE CONTROL INTERNO DE SERVICIO</t>
  </si>
  <si>
    <t>Pequeño retraso en el sellado final</t>
  </si>
  <si>
    <t>Servicio realizado dentro del tiempo esperado</t>
  </si>
  <si>
    <t>Cliente conforme aunque sugirió pequeños cambios</t>
  </si>
  <si>
    <t>Trabajo limpio y profesional, aunque se puede mejorar la organización del área.</t>
  </si>
  <si>
    <t>12 CHECKLIST DE CONTROL INTERNO DE SERVICIO</t>
  </si>
  <si>
    <t>Servicio: uñas acrílicas baby boomer</t>
  </si>
  <si>
    <t>Fecha: 14 de mayo</t>
  </si>
  <si>
    <t>Calificacion 1 a 5</t>
  </si>
  <si>
    <t>Observaciones</t>
  </si>
  <si>
    <t>Área completamente limpia y ordenada</t>
  </si>
  <si>
    <t>Ligero exceso de producto</t>
  </si>
  <si>
    <t>TOTAL</t>
  </si>
  <si>
    <t>La clienta quedó satisfecha con el resultado final y el acabado.</t>
  </si>
  <si>
    <t>13 CHECKLIST DE CONTROL INTERNO DE SERVICIO</t>
  </si>
  <si>
    <t>Herramientas correctamente esterilizadas</t>
  </si>
  <si>
    <t>El servicio tomó 15 minutos más del tiempo estándar</t>
  </si>
  <si>
    <t>Buen manejo de productos y excelente atención durante el servicio.</t>
  </si>
  <si>
    <t>14 CHECKLIST DE CONTROL INTERNO DE SERVICIO</t>
  </si>
  <si>
    <t>Fecha: 15 de mayo</t>
  </si>
  <si>
    <t>Se excedió por 5 minutos</t>
  </si>
  <si>
    <t>Se recomienda perfeccionar el tiempo de aplicación para evitar retrasos.</t>
  </si>
  <si>
    <t>15 CHECKLIST DE CONTROL INTERNO DE SERVICIO</t>
  </si>
  <si>
    <t>Excelente acabado y buena uniformidad en todas las uñas.</t>
  </si>
  <si>
    <t>16 CHECKLIST DE CONTROL INTERNO DE SERVICIO</t>
  </si>
  <si>
    <t>Fecha: 16 de mayo</t>
  </si>
  <si>
    <t>Servicio realizado correctamente cumpliendo los estándares establecidos.</t>
  </si>
  <si>
    <t>17 CHECKLIST DE CONTROL INTERNO DE SERVICIO</t>
  </si>
  <si>
    <t>Buena comunicación con la clienta</t>
  </si>
  <si>
    <t>El servicio se demoró 10 minutos más del tiempo estándar</t>
  </si>
  <si>
    <t>Muy buena atención y resultado final uniforme.</t>
  </si>
  <si>
    <t>18 CHECKLIST DE CONTROL INTERNO DE SERVICIO</t>
  </si>
  <si>
    <t>Fecha: 17 de mayo</t>
  </si>
  <si>
    <t>Buen control del procedimiento y correcta higiene de materiales.</t>
  </si>
  <si>
    <t>19 CHECKLIST DE CONTROL INTERNO DE SERVICIO</t>
  </si>
  <si>
    <t>La técnica utilizada fue adecuada y el resultado fue satisfactorio.</t>
  </si>
  <si>
    <t>20 CHECKLIST DE CONTROL INTERNO DE SERVICIO</t>
  </si>
  <si>
    <t>Fecha: 18 de mayo</t>
  </si>
  <si>
    <t>El servicio tomó 10 minutos más del tiempo estándar</t>
  </si>
  <si>
    <t>Servicio de buena calidad con recomendaciones mínimas de mejora.</t>
  </si>
  <si>
    <t>1 CHECKLIST DE CALIFICACIÓN AL SERVICIO</t>
  </si>
  <si>
    <t>Cliente: Abigail Andrade</t>
  </si>
  <si>
    <t xml:space="preserve">              Calificacion   
1= Muy deficiente
2= Deficiente 
3= Regular
4= Bueno
5= Excelente</t>
  </si>
  <si>
    <t>Atención y amabilidad del personal.</t>
  </si>
  <si>
    <t>Ninguna</t>
  </si>
  <si>
    <t>Limpieza e higiene del lugar.</t>
  </si>
  <si>
    <t>Puntualidad en el inicio del servicio.</t>
  </si>
  <si>
    <t>Demoró unos pocos minutos</t>
  </si>
  <si>
    <t>Explicación clara del procedimiento.</t>
  </si>
  <si>
    <t>Cumplimiento de lo solicitado.</t>
  </si>
  <si>
    <t>Cumple con lo que se pide</t>
  </si>
  <si>
    <t>Criterios de calidad del acabado final: Color, degradado, simetría y forma de las uñas, comodidad durante el servicio, resistencia del acrílico.</t>
  </si>
  <si>
    <t>Un poco de diferencia en el degradado con el de la imagen y una uña no tan recta</t>
  </si>
  <si>
    <t>Duración aparente del servicio.</t>
  </si>
  <si>
    <t xml:space="preserve">Se demoró unos minutos más del tiempo máximo  </t>
  </si>
  <si>
    <t>Satisfacción general.</t>
  </si>
  <si>
    <t>Me agradó el resultado</t>
  </si>
  <si>
    <t>Probabilidad de volver a atenderse.</t>
  </si>
  <si>
    <t xml:space="preserve">Por la buena atención </t>
  </si>
  <si>
    <t>Probabilidad de recomendar el servicio.</t>
  </si>
  <si>
    <t>Realiza un bonito trabajo</t>
  </si>
  <si>
    <t xml:space="preserve">PROMEDIO DE CALIFICACIÓN: </t>
  </si>
  <si>
    <t>2 CHECKLIST DE CALIFICACIÓN AL SERVICIO</t>
  </si>
  <si>
    <t>Cliente: María Ube</t>
  </si>
  <si>
    <t>Sin observaciones</t>
  </si>
  <si>
    <t>3 CHECKLIST DE CALIFICACIÓN AL SERVICIO</t>
  </si>
  <si>
    <t xml:space="preserve">Servicio: Uñas baby boomer </t>
  </si>
  <si>
    <t>Cliente: Elena Villacis</t>
  </si>
  <si>
    <t xml:space="preserve">               Calificacion   
1= Muy deficiente
2= Deficiente 
3= Regular
4= Bueno
5= Excelente</t>
  </si>
  <si>
    <t xml:space="preserve">Había poca organización </t>
  </si>
  <si>
    <t>Un poco de retraso al inicio del trabajo</t>
  </si>
  <si>
    <t xml:space="preserve">Diagnóstico muy rápido </t>
  </si>
  <si>
    <t xml:space="preserve">Se demoró un poco en el difuminado y había una uña con un degradado más intenso </t>
  </si>
  <si>
    <t>Se demoró más del tiempo máximo</t>
  </si>
  <si>
    <t>4 CHECKLIST DE CALIFICACIÓN AL SERVICIO</t>
  </si>
  <si>
    <t xml:space="preserve">Servicio: Uñas acrílicas baby boomer </t>
  </si>
  <si>
    <t>Cliente: Alexa Macías</t>
  </si>
  <si>
    <t xml:space="preserve">             Calificacion   
1= Muy deficiente
2= Deficiente 
3= Regular
4= Bueno
5= Excelente</t>
  </si>
  <si>
    <t>Excelente atención</t>
  </si>
  <si>
    <t>Lugar impecable</t>
  </si>
  <si>
    <t>Excelencia con lo que se solicita</t>
  </si>
  <si>
    <t>Muy hermoso</t>
  </si>
  <si>
    <t>Servicio dentro del tiempo máximo</t>
  </si>
  <si>
    <t>Me encantó el resultado final</t>
  </si>
  <si>
    <t>5 CHECKLIST DE CALIFICACIÓN AL SERVICIO</t>
  </si>
  <si>
    <t>Cliente: Verónica Hermida</t>
  </si>
  <si>
    <t xml:space="preserve">Ninguna </t>
  </si>
  <si>
    <t>Un poco distinto</t>
  </si>
  <si>
    <t>Difuminado algo distinto y unas que otras uñas  algo diferentes</t>
  </si>
  <si>
    <t>Un poco de retraso del tiempo máximo</t>
  </si>
  <si>
    <t>Me gustó el resultado, pero esperaba más.</t>
  </si>
  <si>
    <t>6 CHECKLIST DE CALIFICACIÓN AL SERVICIO</t>
  </si>
  <si>
    <t xml:space="preserve">Fecha: 11 de mayo </t>
  </si>
  <si>
    <t>Cliente: Elizabeth Sánchez</t>
  </si>
  <si>
    <t>Fue amable, pero hubo momentos en que se distraía</t>
  </si>
  <si>
    <t>Limpio en general, aunque había algunos materiales desordenados</t>
  </si>
  <si>
    <t>Tuve que esperar casi 15 minutos antes de empezar</t>
  </si>
  <si>
    <t>Me dijo poco sobre lo que iba a hacer, yo tuve que preguntar</t>
  </si>
  <si>
    <t>Se acercó a lo que quería, pero la forma no quedó tan definida</t>
  </si>
  <si>
    <t>El degradado se veía un poco irregular, y dos uñas quedaron con una diferencia leve de largo</t>
  </si>
  <si>
    <t>Muy lento, el trabajo se hizo demasiado largo y pesado</t>
  </si>
  <si>
    <t>Se ve bien de lejos, pero de cerca se notan los detalles que faltaron</t>
  </si>
  <si>
    <t>Volvería solo si mejora la velocidad y el cuidado en los detalles</t>
  </si>
  <si>
    <t>Lo recomendaría con reservas, advirtiendo que debe tener más cuidado</t>
  </si>
  <si>
    <t>7 CHECKLIST DE CALIFICACIÓN AL SERVICIO</t>
  </si>
  <si>
    <t>Cliente: Leonor Gómez</t>
  </si>
  <si>
    <t>Buena atención, muy educada y respetuosa</t>
  </si>
  <si>
    <t>Todo muy bien limpio, se nota que cuidan la higiene al máximo</t>
  </si>
  <si>
    <t>Empezó solo unos minutos tarde, nada grave</t>
  </si>
  <si>
    <t>Entendí todo, me dio buenas recomendaciones para mis uñas</t>
  </si>
  <si>
    <t>Quedó muy bien, solo cambié un poquito el diseño a mitad del proceso</t>
  </si>
  <si>
    <t>Muy buen acabado, cómodas y resistentes, solo una línea quedó un poquito menos pareja</t>
  </si>
  <si>
    <t>Tiempo razonable, acorde al trabajo que se hizo</t>
  </si>
  <si>
    <t>Muy conforme, el trabajo es de buena calidad</t>
  </si>
  <si>
    <t>Sí, me gustó el trato y el resultado</t>
  </si>
  <si>
    <t>Sí lo recomiendo, es un servicio confiable y bonito</t>
  </si>
  <si>
    <t>8 CHECKLIST DE CALIFICACIÓN AL SERVICIO</t>
  </si>
  <si>
    <t>Cliente: Natasha Morán</t>
  </si>
  <si>
    <t>Fue muy amable, aunque habló un poco</t>
  </si>
  <si>
    <t>Todo muy limpio, se veía muy cuidado y ordenado</t>
  </si>
  <si>
    <t>Empezamos unos 10 minutos después de la hora acordada</t>
  </si>
  <si>
    <t>Me explicó lo que haría, pero no muy detallado</t>
  </si>
  <si>
    <t>Quedó exactamente como yo quería, muy bien</t>
  </si>
  <si>
    <t>El diseño quedó bonito, solo una uña quedó con el tono un poquito diferente</t>
  </si>
  <si>
    <t>Se demoró bastante, casi 20 minutos más de la hora máxima</t>
  </si>
  <si>
    <t>Me gustó mucho el resultado final, a pesar del tiempo</t>
  </si>
  <si>
    <t>Sí volvería, solo esperaría que sea más rápido</t>
  </si>
  <si>
    <t>Lo recomendaría, pero mencionaría que pueden tardar un poco</t>
  </si>
  <si>
    <t>9 CHECKLIST DE CALIFICACIÓN AL SERVICIO</t>
  </si>
  <si>
    <t xml:space="preserve">Fecha: 12 de mayo </t>
  </si>
  <si>
    <t>Cliente: Cinthya Alvarado</t>
  </si>
  <si>
    <t>Trato excelente, muy atenta y simpática todo el tiempo</t>
  </si>
  <si>
    <t>Espacio impecable, muy aseado y con buena iluminación</t>
  </si>
  <si>
    <t>Empezó justo a la hora que teníamos pactada</t>
  </si>
  <si>
    <t>Me explicó paso a paso todo lo que hacía, muy claro</t>
  </si>
  <si>
    <t>Superó mis expectativas, quedó mejor de lo que imaginaba</t>
  </si>
  <si>
    <t>Todas las uñas idénticas, forma perfecta, muy cómodas y bien hechas</t>
  </si>
  <si>
    <t>Ritmo muy bueno, terminó justo en el tiempo estimado</t>
  </si>
  <si>
    <t>Quedé encantada, un trabajo muy profesional</t>
  </si>
  <si>
    <t>Definitivamente volveré, ya es mi manicurista favorita</t>
  </si>
  <si>
    <t>Se lo recomiendo a todas mis amigas sin dudar</t>
  </si>
  <si>
    <t>10 CHECKLIST DE CALIFICACIÓN AL SERVICIO</t>
  </si>
  <si>
    <t>Cliente: Cristina Alvarado</t>
  </si>
  <si>
    <t>Muy buena atención</t>
  </si>
  <si>
    <t>Área limpia y ordenada</t>
  </si>
  <si>
    <t>Inició con pocos minutos de retraso</t>
  </si>
  <si>
    <t xml:space="preserve">Explicación detallada </t>
  </si>
  <si>
    <t>Resultado como lo solicitado</t>
  </si>
  <si>
    <t xml:space="preserve">Acabado prolijo y uniforme, leve diferencia en el degradado, buena resistencia </t>
  </si>
  <si>
    <t xml:space="preserve">Terminó 5 minutos antes </t>
  </si>
  <si>
    <t>Muy satisfecha</t>
  </si>
  <si>
    <t>Volvería nuevamente</t>
  </si>
  <si>
    <t>Lo recomendaría</t>
  </si>
  <si>
    <t>11 CHECKLIST DE CALIFICACIÓN AL SERVICIO</t>
  </si>
  <si>
    <t>Cliente: Lucía Maldonado</t>
  </si>
  <si>
    <t>Trato amable</t>
  </si>
  <si>
    <t>Muy limpio</t>
  </si>
  <si>
    <t>Servicio puntual</t>
  </si>
  <si>
    <t xml:space="preserve">Explicación breve pero clara </t>
  </si>
  <si>
    <t>Cumplió expectativas</t>
  </si>
  <si>
    <t xml:space="preserve">Excelente acabado , diseño uniforme </t>
  </si>
  <si>
    <t>Buen resultado</t>
  </si>
  <si>
    <t>Clienta satisfecha</t>
  </si>
  <si>
    <t xml:space="preserve">Sí volvería </t>
  </si>
  <si>
    <t xml:space="preserve">Recomendado </t>
  </si>
  <si>
    <t>12 CHECKLIST DE CALIFICACIÓN AL SERVICIO</t>
  </si>
  <si>
    <t xml:space="preserve">Fecha: 14 de mayo </t>
  </si>
  <si>
    <t>Cliente: Linda Pluas</t>
  </si>
  <si>
    <t>Explicación muy rápido</t>
  </si>
  <si>
    <t>Casi igual</t>
  </si>
  <si>
    <t>El color es muy suave, esperaba un poquito más notable.</t>
  </si>
  <si>
    <t>Culminación del servicio justo a tiempo</t>
  </si>
  <si>
    <t>Me gustó el resultado final aunque no mucho lo pálido del color</t>
  </si>
  <si>
    <t>13 CHECKLIST DE CALIFICACIÓN AL SERVICIO</t>
  </si>
  <si>
    <t>Cliente: Estefania Bonozo</t>
  </si>
  <si>
    <t xml:space="preserve">Había un poco de desorden </t>
  </si>
  <si>
    <t>Esperé 5 minutos para ser atendida</t>
  </si>
  <si>
    <t xml:space="preserve">Muy rápido </t>
  </si>
  <si>
    <t>Si, pero leve</t>
  </si>
  <si>
    <t>Me gustó, pero parece que la resistencia del acrílico va ser baja</t>
  </si>
  <si>
    <t>Se demoró más del tiempo máximo del servicio</t>
  </si>
  <si>
    <t>Si, pero procurar el orden del lugar ya que visualmente no se ve bien.</t>
  </si>
  <si>
    <t>14 CHECKLIST DE CALIFICACIÓN AL SERVICIO</t>
  </si>
  <si>
    <t xml:space="preserve">Fecha: 15 de mayo </t>
  </si>
  <si>
    <t>Cliente: Iris Gutiérrez</t>
  </si>
  <si>
    <t>Había desorden</t>
  </si>
  <si>
    <t xml:space="preserve">Esta bonito el trabajo pero se notó un poco de exceso de producto en ciertas uñas </t>
  </si>
  <si>
    <t>Demoró muy pocos minutos de la hora máxima</t>
  </si>
  <si>
    <t>Me agradó el acabado final</t>
  </si>
  <si>
    <t>15 CHECKLIST DE CALIFICACIÓN AL SERVICIO</t>
  </si>
  <si>
    <t>Cliente: Melanie Rugel</t>
  </si>
  <si>
    <t>No tomé atención al tiempo</t>
  </si>
  <si>
    <t>16 CHECKLIST DE CALIFICACIÓN AL SERVICIO</t>
  </si>
  <si>
    <t xml:space="preserve">Fecha: 16 de mayo </t>
  </si>
  <si>
    <t>Cliente: Mónica Lasso</t>
  </si>
  <si>
    <t>Sin novedad</t>
  </si>
  <si>
    <t>Esperé por unos minutos</t>
  </si>
  <si>
    <t>La explicación fue muy rápido</t>
  </si>
  <si>
    <t>Se demoró más de la hora esperada ya que se empezó tarde</t>
  </si>
  <si>
    <t>Me encanto el resultado, pero procurar no hacer esperar tanto tiempo al cliente.</t>
  </si>
  <si>
    <t>17 CHECKLIST DE CALIFICACIÓN AL SERVICIO</t>
  </si>
  <si>
    <t>Cliente: Mariela Jiménez</t>
  </si>
  <si>
    <t>Un poquito de diferencia en el degradado en dos uñas</t>
  </si>
  <si>
    <t>Se demoró por un retraso en el sellado</t>
  </si>
  <si>
    <t>18 CHECKLIST DE CALIFICACIÓN AL SERVICIO</t>
  </si>
  <si>
    <t xml:space="preserve">Fecha: 17 de mayo </t>
  </si>
  <si>
    <t>Cliente: Alexa Conforme</t>
  </si>
  <si>
    <t>sin observaciones</t>
  </si>
  <si>
    <t>19 CHECKLIST DE CALIFICACIÓN AL SERVICIO</t>
  </si>
  <si>
    <t>Cliente: Amelia Carrasco</t>
  </si>
  <si>
    <t>20 CHECKLIST DE CALIFICACIÓN AL SERVICIO</t>
  </si>
  <si>
    <t xml:space="preserve">Fecha: 18 de mayo </t>
  </si>
  <si>
    <t>Cliente: Arianna</t>
  </si>
  <si>
    <t>Se notaba algo apurada</t>
  </si>
  <si>
    <t xml:space="preserve">Había un poco de desorden de los materiales en el lugar </t>
  </si>
  <si>
    <t>Fue muy rápido</t>
  </si>
  <si>
    <t>El color era algo distinto al que quería, pero me agradó.</t>
  </si>
  <si>
    <t>Me encanto el resultado pero demoró más del tiempo que se había mencionado.</t>
  </si>
  <si>
    <t xml:space="preserve">sin observaciones </t>
  </si>
  <si>
    <t xml:space="preserve">Etapas del proceso </t>
  </si>
  <si>
    <t xml:space="preserve">Actividades </t>
  </si>
  <si>
    <t xml:space="preserve">Que se evalúa </t>
  </si>
  <si>
    <t>Reserva de la cita</t>
  </si>
  <si>
    <t>• Contacto con el cliente
• Información del servicio al cliente
• Verificación de espacio (tiempo)
• Confirmación de agenda de la cita</t>
  </si>
  <si>
    <t xml:space="preserve">Tiempo de cierre de la cita </t>
  </si>
  <si>
    <t>Recepción del cliente</t>
  </si>
  <si>
    <t>• Recepción y saludo al cliente.
• Verificación de la cita y diseño solicitado.</t>
  </si>
  <si>
    <t>Tiempo de espera del cliente para der atendida</t>
  </si>
  <si>
    <t>Preparación del servicio</t>
  </si>
  <si>
    <t>• Lavado y desinfección de manos del profesional 
• Desinfección del área de trabajo.
• Esterilización y organización de herramientas.
• Preparación de materiales e insumos antes de iniciar el servicio.</t>
  </si>
  <si>
    <t>Cumplimiento de higiene y organización</t>
  </si>
  <si>
    <t>Preparación de la clienta</t>
  </si>
  <si>
    <t>• Lavado y desinfección de manos de la cliente.
• Revisión del estado de las uñas y manos del cliente.
• Identificación de heridas, alergias o infecciones.
• Retiro de esmalte o acrílico anterior si aplica.
• Retiro de brillo natural de la uña.
• Empuje y limpieza de cutícula.
• Selección del tamaño correcto de tips o moldes.</t>
  </si>
  <si>
    <t>Cumplimiento del protocolo</t>
  </si>
  <si>
    <t>Aplicación de estructura acrílica</t>
  </si>
  <si>
    <t>• Colocación y fijación correcta de tips o moldes.
• Corte de tips según largo solicitado.
• Aplicación de primer y deshidratador.
• Preparación adecuada de mezcla acrílica.
• Aplicación de acrílico nude como base principal.
• Distribución uniforme del producto.
• Control del grosor de la uña.
• Aplicación de acrílico blanco en la punta.
• Difuminado del color blanco para lograr el efecto Baby Boomer.
• Corrección inmediata de imperfecciones durante la aplicación.
• Verificación de simetría y estructura en cada uña</t>
  </si>
  <si>
    <t>Técnica de aplicación, uniformidad, uso correcto de producto, precisión del degradado, estructura y grosor adecuado</t>
  </si>
  <si>
    <t>Acabado y perfeccionamiento</t>
  </si>
  <si>
    <t>• Limado de superficie y laterales.
• Definición de forma final de las uñas.
• Corrección de desniveles o exceso de producto.
• Pulido de superficie para acabado uniforme.
• Eliminación de residuos de limado.
• Aplicación de top coat brillante.
• Curado en lámpara UV/LED.
• Aplicación de aceite para cutícula.
• Limpieza final de manos y uñas.
• Revisión visual del acabado final.</t>
  </si>
  <si>
    <t>Calidad del acabado final: Brillo, uniformidad, forma, limpieza, resistencia, acabado profesional y tiempo del servicio.</t>
  </si>
  <si>
    <t>Evaluación final del servicio y recomendaciones</t>
  </si>
  <si>
    <t>• Verificación del resultado final junto al cliente.
• Comparación del diseño realizado con el solicitado.
• Confirmación de uniformidad y brillo.
• Revisión de levantamientos, burbujas o imperfecciones.
• Consulta de comodidad y satisfacción del cliente.
• Entrega de recomendaciones de cuidado y mantenimiento
• Cobro del servicio
• Registro de observaciones del cliente.
• Aplicación del checklist de evaluación al cliente.
• Confirmación del tiempo total del servicio.
• Cierre y despedida del cliente</t>
  </si>
  <si>
    <t>Nivel de Satisfacción del cliente: Calidad visual, cumplimiento de estándares, aceptación del servicio y experiencia del cliente.</t>
  </si>
  <si>
    <t>Seguimiento Post - Servicio</t>
  </si>
  <si>
    <t>• Contacto con el cliente después de 7 días 
• Preguntar en que estado está el trabajo realizado
• Recordamiento de cuidado
• Encuesta de satisfacción</t>
  </si>
  <si>
    <t>Satisfacción del cliente, Calificación la calidad del servicio.</t>
  </si>
  <si>
    <t>PROCESO OPERATIVO
CLIENTES</t>
  </si>
  <si>
    <t>PROCESO ESTRATÉGICO</t>
  </si>
  <si>
    <t>CLIENTES SATISFECHOS</t>
  </si>
  <si>
    <t>PLANIFICACIÓN ESTRATÉGICA</t>
  </si>
  <si>
    <t>GESTIÓN ADMINISTRATIVA</t>
  </si>
  <si>
    <t xml:space="preserve">DISEÑO DE SERVICIOS </t>
  </si>
  <si>
    <t>CONTABILIDAD</t>
  </si>
  <si>
    <t xml:space="preserve">GESTIÓN DE LA CALIDAD </t>
  </si>
  <si>
    <t>RESERVA DE LA CITA</t>
  </si>
  <si>
    <t>RECEPCIÓN DEL CLIENTE</t>
  </si>
  <si>
    <t>PREPARACIÓN DEL SERVICIO</t>
  </si>
  <si>
    <t>PREPARACIÓN DE LA CLIENTA</t>
  </si>
  <si>
    <t>APLICACIÓN DE ESTRUCTURA ACRÍLICA</t>
  </si>
  <si>
    <t>ACABADO Y PERFECCIONAMIENTO</t>
  </si>
  <si>
    <t>EVALUACIÓN FINAL DEL SERVICIO Y RECOMENDACIONES</t>
  </si>
  <si>
    <t>SEGUIMIENTO POST SERVICIO</t>
  </si>
  <si>
    <t>PROCESOS DE APOYO</t>
  </si>
  <si>
    <t>PROCESO DE COMPRAS</t>
  </si>
  <si>
    <t>LIMPIEZA Y BIOSEGURIDAD</t>
  </si>
  <si>
    <t>MARKETING Y REDES SOCIALES</t>
  </si>
  <si>
    <t>ID</t>
  </si>
  <si>
    <t>Fecha</t>
  </si>
  <si>
    <t>Cliente</t>
  </si>
  <si>
    <t>Manicurista</t>
  </si>
  <si>
    <t>Servicio</t>
  </si>
  <si>
    <t>Nivel de satisfacción del cliente
(de 1 a 5)
1: Muy Insatisfecho
2: Insatisfecho 
3: Neutral
4: Satisfecho 
5: Muy satisfecho</t>
  </si>
  <si>
    <t>Tiempo Demorado en el servicio (minutos)</t>
  </si>
  <si>
    <t>Cumplimiento del protoco</t>
  </si>
  <si>
    <t>Calidad del acabado final</t>
  </si>
  <si>
    <t xml:space="preserve"> </t>
  </si>
  <si>
    <t>000-4</t>
  </si>
  <si>
    <t>Abigail Andrade</t>
  </si>
  <si>
    <t>Génesis Balla</t>
  </si>
  <si>
    <t>Uñas acrílicas baby boomer</t>
  </si>
  <si>
    <t>María Ube</t>
  </si>
  <si>
    <t>Elena Villacis</t>
  </si>
  <si>
    <t>Alexa Macías</t>
  </si>
  <si>
    <t>Verónica Hermida</t>
  </si>
  <si>
    <t>Elizabeth Sánchez</t>
  </si>
  <si>
    <t>Leonor Gómez</t>
  </si>
  <si>
    <t>Natasha Morán</t>
  </si>
  <si>
    <t>Cinthya Alvarado</t>
  </si>
  <si>
    <t>Cristina Alvarado</t>
  </si>
  <si>
    <t>Lucía Maldonado</t>
  </si>
  <si>
    <t>Linda Pluas</t>
  </si>
  <si>
    <t>Estefania Bonozo</t>
  </si>
  <si>
    <t xml:space="preserve">Iris Gutierrez </t>
  </si>
  <si>
    <t>Melanie Rugel</t>
  </si>
  <si>
    <t>Monica Lasso</t>
  </si>
  <si>
    <t xml:space="preserve">Mariela Jiménez </t>
  </si>
  <si>
    <t>Alexa Conforme</t>
  </si>
  <si>
    <t xml:space="preserve">Amelia Carrasco </t>
  </si>
  <si>
    <t>Arianna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</si>
</sst>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263" formatCode="d/m"/>
    <numFmt numFmtId="264" formatCode="dd/mm/yyyy"/>
  </numFmts>
  <fonts count="14">
    <font>
      <b val="0"/>
      <i val="0"/>
      <sz val="11"/>
      <color theme="1"/>
      <name val="Calibri"/>
      <scheme val="minor"/>
    </font>
    <font>
      <b val="0"/>
      <i val="0"/>
      <color theme="1"/>
      <name val="Calibri"/>
    </font>
    <font>
      <b/>
      <i val="0"/>
      <sz val="14"/>
      <color theme="1"/>
      <name val="Calibri"/>
    </font>
    <font>
      <b/>
      <i val="0"/>
      <sz val="11"/>
      <color theme="1"/>
      <name val="Calibri"/>
    </font>
    <font>
      <b val="0"/>
      <i val="0"/>
      <sz val="11"/>
      <color theme="1"/>
      <name val="Calibri"/>
    </font>
    <font>
      <b/>
      <i val="0"/>
      <color theme="1"/>
      <name val="Calibri"/>
    </font>
    <font>
      <b val="0"/>
      <i val="0"/>
      <sz val="14"/>
      <color theme="1"/>
      <name val="Calibri"/>
    </font>
    <font>
      <b val="0"/>
      <i val="0"/>
      <sz val="36"/>
      <color theme="1"/>
      <name val="Calibri"/>
    </font>
    <font>
      <b val="0"/>
      <i val="0"/>
      <sz val="11"/>
      <color rgb="FF000000"/>
      <name val="Calibri"/>
    </font>
    <font>
      <b/>
      <i val="0"/>
      <sz val="14"/>
      <color rgb="FF000000"/>
      <name val="Calibri"/>
    </font>
    <font>
      <b/>
      <i val="0"/>
      <sz val="11"/>
      <color rgb="FF000000"/>
      <name val="Calibri"/>
    </font>
    <font>
      <b/>
      <i val="0"/>
      <sz val="36"/>
      <color theme="1"/>
      <name val="Calibri"/>
    </font>
    <font>
      <b/>
      <i val="0"/>
      <sz val="24"/>
      <color theme="1"/>
      <name val="Calibri"/>
    </font>
    <font>
      <b val="0"/>
      <i val="0"/>
      <sz val="24"/>
      <color theme="1"/>
      <name val="Calibri"/>
    </font>
  </fonts>
  <fills count="24">
    <fill>
      <patternFill patternType="none"/>
    </fill>
    <fill>
      <patternFill patternType="gray125"/>
    </fill>
    <fill>
      <patternFill patternType="solid">
        <fgColor rgb="FFB6D7A8"/>
      </patternFill>
    </fill>
    <fill>
      <patternFill patternType="solid">
        <fgColor rgb="FFEAF1DD"/>
      </patternFill>
    </fill>
    <fill>
      <patternFill patternType="solid">
        <fgColor rgb="FFFDE9D9"/>
      </patternFill>
    </fill>
    <fill>
      <patternFill patternType="solid">
        <fgColor rgb="FFF2DBDB"/>
      </patternFill>
    </fill>
    <fill>
      <patternFill patternType="solid">
        <fgColor rgb="FFFFFFFF"/>
      </patternFill>
    </fill>
    <fill>
      <patternFill patternType="solid">
        <fgColor rgb="FFE5DFEC"/>
      </patternFill>
    </fill>
    <fill>
      <patternFill patternType="solid">
        <fgColor rgb="FFDAEEF3"/>
      </patternFill>
    </fill>
    <fill>
      <patternFill patternType="solid">
        <fgColor rgb="FFC9DAF8"/>
      </patternFill>
    </fill>
    <fill>
      <patternFill patternType="solid">
        <fgColor rgb="FFF6B26B"/>
      </patternFill>
    </fill>
    <fill>
      <patternFill patternType="solid">
        <fgColor rgb="FFE06666"/>
      </patternFill>
    </fill>
    <fill>
      <patternFill patternType="solid">
        <fgColor rgb="FFFFD966"/>
      </patternFill>
    </fill>
    <fill>
      <patternFill patternType="solid">
        <fgColor rgb="FF00FFFF"/>
      </patternFill>
    </fill>
    <fill>
      <patternFill patternType="solid">
        <fgColor rgb="FF6D9EEB"/>
      </patternFill>
    </fill>
    <fill>
      <patternFill patternType="solid">
        <fgColor rgb="FFC27BA0"/>
      </patternFill>
    </fill>
    <fill>
      <patternFill patternType="solid">
        <fgColor rgb="FFB4A7D6"/>
      </patternFill>
    </fill>
    <fill>
      <patternFill patternType="solid">
        <fgColor rgb="FF9FC5E8"/>
      </patternFill>
    </fill>
    <fill>
      <patternFill patternType="solid">
        <fgColor rgb="FF00FF00"/>
      </patternFill>
    </fill>
    <fill>
      <patternFill patternType="solid">
        <fgColor rgb="FFFF9900"/>
      </patternFill>
    </fill>
    <fill>
      <patternFill patternType="solid">
        <fgColor rgb="FFCCCCCC"/>
      </patternFill>
    </fill>
    <fill>
      <patternFill patternType="solid">
        <fgColor rgb="FFDD7E6B"/>
      </patternFill>
    </fill>
    <fill>
      <patternFill patternType="solid">
        <fgColor rgb="FFEAD1DC"/>
      </patternFill>
    </fill>
    <fill>
      <patternFill patternType="solid">
        <fgColor rgb="FFFFE599"/>
      </patternFill>
    </fill>
  </fills>
  <borders count="45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/>
      <bottom/>
    </border>
    <border>
      <right style="thick">
        <color rgb="FF000000"/>
      </right>
      <top/>
      <bottom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">
    <xf numFmtId="0" fontId="0" fillId="0" borderId="1" applyFont="1" applyAlignment="1"/>
    <xf numFmtId="0" fontId="0" fillId="0" borderId="0" applyFont="1" applyAlignment="1"/>
  </cellStyleXfs>
  <cellXfs count="358">
    <xf numFmtId="0" fontId="0" fillId="0" borderId="1" xfId="0" applyFont="1" applyAlignment="1"/>
    <xf numFmtId="0" fontId="4" fillId="0" borderId="0" xfId="0">
      <alignment vertical="center"/>
    </xf>
    <xf numFmtId="0" fontId="2" fillId="2" borderId="2" xfId="0">
      <alignment horizontal="center" vertical="center"/>
    </xf>
    <xf numFmtId="0" fontId="0" fillId="0" borderId="3" xfId="0"/>
    <xf numFmtId="0" fontId="0" fillId="0" borderId="4" xfId="0"/>
    <xf numFmtId="0" fontId="4" fillId="0" borderId="5" xfId="0">
      <alignment vertical="center"/>
    </xf>
    <xf numFmtId="0" fontId="4" fillId="0" borderId="6" xfId="0">
      <alignment vertical="center"/>
    </xf>
    <xf numFmtId="0" fontId="3" fillId="0" borderId="5" xfId="0">
      <alignment vertical="center"/>
    </xf>
    <xf numFmtId="0" fontId="3" fillId="3" borderId="7" xfId="0">
      <alignment vertical="center"/>
    </xf>
    <xf numFmtId="0" fontId="4" fillId="4" borderId="8" xfId="0">
      <alignment vertical="center"/>
    </xf>
    <xf numFmtId="49" fontId="4" fillId="4" borderId="8" xfId="0">
      <alignment vertical="center"/>
    </xf>
    <xf numFmtId="0" fontId="4" fillId="4" borderId="8" xfId="0">
      <alignment vertical="center" wrapText="1"/>
    </xf>
    <xf numFmtId="0" fontId="3" fillId="3" borderId="9" xfId="0">
      <alignment vertical="center"/>
    </xf>
    <xf numFmtId="0" fontId="4" fillId="4" borderId="10" xfId="0">
      <alignment vertical="center"/>
    </xf>
    <xf numFmtId="0" fontId="3" fillId="3" borderId="7" xfId="0">
      <alignment horizontal="center" vertical="center"/>
    </xf>
    <xf numFmtId="0" fontId="3" fillId="3" borderId="7" xfId="0"/>
    <xf numFmtId="0" fontId="3" fillId="0" borderId="5" xfId="0">
      <alignment horizontal="left" vertical="center"/>
    </xf>
    <xf numFmtId="0" fontId="4" fillId="4" borderId="11" xfId="0">
      <alignment horizontal="center" vertical="center"/>
    </xf>
    <xf numFmtId="0" fontId="0" fillId="0" borderId="12" xfId="0"/>
    <xf numFmtId="0" fontId="4" fillId="0" borderId="5" xfId="0">
      <alignment horizontal="left" vertical="center"/>
    </xf>
    <xf numFmtId="0" fontId="0" fillId="0" borderId="6" xfId="0"/>
    <xf numFmtId="0" fontId="0" fillId="0" borderId="5" xfId="0"/>
    <xf numFmtId="0" fontId="3" fillId="0" borderId="5" xfId="0">
      <alignment horizontal="center" vertical="center"/>
    </xf>
    <xf numFmtId="0" fontId="3" fillId="0" borderId="6" xfId="0">
      <alignment horizontal="center" vertical="center"/>
    </xf>
    <xf numFmtId="0" fontId="4" fillId="0" borderId="5" xfId="0">
      <alignment horizontal="center" vertical="center"/>
    </xf>
    <xf numFmtId="0" fontId="4" fillId="0" borderId="6" xfId="0">
      <alignment horizontal="center" vertical="bottom"/>
    </xf>
    <xf numFmtId="0" fontId="4" fillId="0" borderId="5" xfId="0">
      <alignment horizontal="center" vertical="bottom"/>
    </xf>
    <xf numFmtId="0" fontId="4" fillId="0" borderId="5" xfId="0"/>
    <xf numFmtId="0" fontId="4" fillId="0" borderId="0" xfId="0">
      <alignment horizontal="center" vertical="bottom"/>
    </xf>
    <xf numFmtId="0" fontId="4" fillId="0" borderId="13" xfId="0"/>
    <xf numFmtId="0" fontId="4" fillId="0" borderId="14" xfId="0"/>
    <xf numFmtId="0" fontId="4" fillId="0" borderId="15" xfId="0">
      <alignment horizontal="center" vertical="bottom"/>
    </xf>
    <xf numFmtId="0" fontId="4" fillId="0" borderId="0" xfId="0">
      <alignment vertical="center" wrapText="1"/>
    </xf>
    <xf numFmtId="0" fontId="6" fillId="0" borderId="16" xfId="0">
      <alignment horizontal="center" vertical="center" wrapText="1"/>
    </xf>
    <xf numFmtId="0" fontId="6" fillId="0" borderId="17" xfId="0">
      <alignment horizontal="center" vertical="center" wrapText="1"/>
    </xf>
    <xf numFmtId="0" fontId="6" fillId="0" borderId="18" xfId="0">
      <alignment horizontal="center" vertical="center" wrapText="1"/>
    </xf>
    <xf numFmtId="0" fontId="2" fillId="5" borderId="19" xfId="0">
      <alignment horizontal="center" vertical="center" wrapText="1"/>
    </xf>
    <xf numFmtId="0" fontId="0" fillId="0" borderId="20" xfId="0"/>
    <xf numFmtId="0" fontId="0" fillId="0" borderId="21" xfId="0"/>
    <xf numFmtId="0" fontId="2" fillId="0" borderId="0" xfId="0">
      <alignment horizontal="center" vertical="center" wrapText="1"/>
    </xf>
    <xf numFmtId="0" fontId="4" fillId="0" borderId="22" xfId="0">
      <alignment vertical="center" wrapText="1"/>
    </xf>
    <xf numFmtId="0" fontId="4" fillId="0" borderId="0" xfId="0">
      <alignment horizontal="center" vertical="center" wrapText="1"/>
    </xf>
    <xf numFmtId="0" fontId="4" fillId="0" borderId="23" xfId="0">
      <alignment vertical="center" wrapText="1"/>
    </xf>
    <xf numFmtId="0" fontId="0" fillId="0" borderId="23" xfId="0"/>
    <xf numFmtId="0" fontId="7" fillId="6" borderId="0" xfId="0">
      <alignment vertical="center" wrapText="1"/>
    </xf>
    <xf numFmtId="263" fontId="4" fillId="0" borderId="0" xfId="0">
      <alignment vertical="center" wrapText="1"/>
    </xf>
    <xf numFmtId="0" fontId="3" fillId="5" borderId="24" xfId="0">
      <alignment horizontal="center" vertical="center" wrapText="1"/>
    </xf>
    <xf numFmtId="0" fontId="3" fillId="5" borderId="7" xfId="0">
      <alignment horizontal="center" vertical="center" wrapText="1"/>
    </xf>
    <xf numFmtId="0" fontId="3" fillId="5" borderId="25" xfId="0">
      <alignment horizontal="center" vertical="center" wrapText="1"/>
    </xf>
    <xf numFmtId="0" fontId="3" fillId="0" borderId="0" xfId="0">
      <alignment horizontal="center" vertical="center" wrapText="1"/>
    </xf>
    <xf numFmtId="0" fontId="4" fillId="0" borderId="24" xfId="0">
      <alignment vertical="center" wrapText="1"/>
    </xf>
    <xf numFmtId="0" fontId="4" fillId="0" borderId="7" xfId="0">
      <alignment horizontal="center" vertical="center" wrapText="1"/>
    </xf>
    <xf numFmtId="0" fontId="4" fillId="0" borderId="25" xfId="0">
      <alignment vertical="center" wrapText="1"/>
    </xf>
    <xf numFmtId="0" fontId="4" fillId="0" borderId="9" xfId="0">
      <alignment horizontal="center" vertical="center" wrapText="1"/>
    </xf>
    <xf numFmtId="0" fontId="4" fillId="0" borderId="26" xfId="0">
      <alignment vertical="center" wrapText="1"/>
    </xf>
    <xf numFmtId="0" fontId="4" fillId="0" borderId="27" xfId="0">
      <alignment vertical="center" wrapText="1"/>
    </xf>
    <xf numFmtId="0" fontId="3" fillId="0" borderId="24" xfId="0">
      <alignment vertical="center" wrapText="1"/>
    </xf>
    <xf numFmtId="10" fontId="4" fillId="0" borderId="7" xfId="0">
      <alignment horizontal="center" vertical="center"/>
    </xf>
    <xf numFmtId="0" fontId="4" fillId="5" borderId="7" xfId="0">
      <alignment horizontal="center" vertical="center" wrapText="1"/>
    </xf>
    <xf numFmtId="0" fontId="3" fillId="0" borderId="0" xfId="0">
      <alignment vertical="center" wrapText="1"/>
    </xf>
    <xf numFmtId="0" fontId="4" fillId="0" borderId="28" xfId="0">
      <alignment vertical="center" wrapText="1"/>
    </xf>
    <xf numFmtId="0" fontId="4" fillId="0" borderId="29" xfId="0">
      <alignment horizontal="center" vertical="center" wrapText="1"/>
    </xf>
    <xf numFmtId="0" fontId="4" fillId="0" borderId="30" xfId="0">
      <alignment vertical="center" wrapText="1"/>
    </xf>
    <xf numFmtId="0" fontId="4" fillId="0" borderId="16" xfId="0">
      <alignment vertical="center" wrapText="1"/>
    </xf>
    <xf numFmtId="0" fontId="4" fillId="0" borderId="17" xfId="0">
      <alignment horizontal="center" vertical="center" wrapText="1"/>
    </xf>
    <xf numFmtId="0" fontId="4" fillId="0" borderId="18" xfId="0">
      <alignment vertical="center" wrapText="1"/>
    </xf>
    <xf numFmtId="0" fontId="2" fillId="3" borderId="19" xfId="0">
      <alignment horizontal="center" vertical="center" wrapText="1"/>
    </xf>
    <xf numFmtId="0" fontId="3" fillId="3" borderId="24" xfId="0">
      <alignment horizontal="center" vertical="center" wrapText="1"/>
    </xf>
    <xf numFmtId="0" fontId="3" fillId="3" borderId="7" xfId="0">
      <alignment horizontal="center" vertical="center" wrapText="1"/>
    </xf>
    <xf numFmtId="0" fontId="3" fillId="3" borderId="25" xfId="0">
      <alignment horizontal="center" vertical="center" wrapText="1"/>
    </xf>
    <xf numFmtId="10" fontId="4" fillId="0" borderId="7" xfId="0">
      <alignment vertical="center"/>
    </xf>
    <xf numFmtId="0" fontId="4" fillId="3" borderId="7" xfId="0">
      <alignment horizontal="center" vertical="center" wrapText="1"/>
    </xf>
    <xf numFmtId="0" fontId="4" fillId="0" borderId="0" xfId="0">
      <alignment horizontal="left" vertical="center" wrapText="1"/>
    </xf>
    <xf numFmtId="0" fontId="2" fillId="7" borderId="19" xfId="0">
      <alignment horizontal="center" vertical="center" wrapText="1"/>
    </xf>
    <xf numFmtId="0" fontId="3" fillId="7" borderId="24" xfId="0">
      <alignment horizontal="center" vertical="center" wrapText="1"/>
    </xf>
    <xf numFmtId="0" fontId="3" fillId="7" borderId="7" xfId="0">
      <alignment horizontal="center" vertical="center" wrapText="1"/>
    </xf>
    <xf numFmtId="0" fontId="3" fillId="7" borderId="25" xfId="0">
      <alignment horizontal="center" vertical="center" wrapText="1"/>
    </xf>
    <xf numFmtId="0" fontId="4" fillId="0" borderId="31" xfId="0">
      <alignment horizontal="center" vertical="center" wrapText="1"/>
    </xf>
    <xf numFmtId="0" fontId="4" fillId="7" borderId="7" xfId="0">
      <alignment horizontal="center" vertical="center" wrapText="1"/>
    </xf>
    <xf numFmtId="0" fontId="4" fillId="0" borderId="32" xfId="0">
      <alignment vertical="center" wrapText="1"/>
    </xf>
    <xf numFmtId="0" fontId="2" fillId="8" borderId="19" xfId="0">
      <alignment horizontal="center" vertical="center" wrapText="1"/>
    </xf>
    <xf numFmtId="0" fontId="3" fillId="8" borderId="24" xfId="0">
      <alignment horizontal="center" vertical="center" wrapText="1"/>
    </xf>
    <xf numFmtId="0" fontId="3" fillId="8" borderId="7" xfId="0">
      <alignment horizontal="center" vertical="center" wrapText="1"/>
    </xf>
    <xf numFmtId="0" fontId="3" fillId="8" borderId="25" xfId="0">
      <alignment horizontal="center" vertical="center" wrapText="1"/>
    </xf>
    <xf numFmtId="0" fontId="4" fillId="8" borderId="7" xfId="0">
      <alignment horizontal="center" vertical="center" wrapText="1"/>
    </xf>
    <xf numFmtId="0" fontId="2" fillId="4" borderId="19" xfId="0">
      <alignment horizontal="center" vertical="center" wrapText="1"/>
    </xf>
    <xf numFmtId="0" fontId="3" fillId="4" borderId="24" xfId="0">
      <alignment horizontal="center" vertical="center" wrapText="1"/>
    </xf>
    <xf numFmtId="0" fontId="3" fillId="4" borderId="7" xfId="0">
      <alignment horizontal="center" vertical="center" wrapText="1"/>
    </xf>
    <xf numFmtId="0" fontId="3" fillId="4" borderId="25" xfId="0">
      <alignment horizontal="center" vertical="center" wrapText="1"/>
    </xf>
    <xf numFmtId="0" fontId="4" fillId="4" borderId="7" xfId="0">
      <alignment horizontal="center" vertical="center" wrapText="1"/>
    </xf>
    <xf numFmtId="0" fontId="2" fillId="9" borderId="19" xfId="0">
      <alignment horizontal="center" vertical="center" wrapText="1"/>
    </xf>
    <xf numFmtId="0" fontId="3" fillId="9" borderId="24" xfId="0">
      <alignment horizontal="center" vertical="center" wrapText="1"/>
    </xf>
    <xf numFmtId="0" fontId="3" fillId="9" borderId="7" xfId="0">
      <alignment horizontal="center" vertical="center" wrapText="1"/>
    </xf>
    <xf numFmtId="0" fontId="3" fillId="9" borderId="25" xfId="0">
      <alignment horizontal="center" vertical="center" wrapText="1"/>
    </xf>
    <xf numFmtId="0" fontId="4" fillId="9" borderId="7" xfId="0">
      <alignment horizontal="center" vertical="center" wrapText="1"/>
    </xf>
    <xf numFmtId="0" fontId="4" fillId="0" borderId="25" xfId="0">
      <alignment horizontal="center" vertical="center" wrapText="1"/>
    </xf>
    <xf numFmtId="0" fontId="2" fillId="10" borderId="19" xfId="0">
      <alignment horizontal="center" vertical="center" wrapText="1"/>
    </xf>
    <xf numFmtId="0" fontId="3" fillId="10" borderId="24" xfId="0">
      <alignment horizontal="center" vertical="center" wrapText="1"/>
    </xf>
    <xf numFmtId="0" fontId="3" fillId="10" borderId="7" xfId="0">
      <alignment horizontal="center" vertical="center" wrapText="1"/>
    </xf>
    <xf numFmtId="0" fontId="3" fillId="10" borderId="25" xfId="0">
      <alignment horizontal="center" vertical="center" wrapText="1"/>
    </xf>
    <xf numFmtId="0" fontId="4" fillId="10" borderId="7" xfId="0">
      <alignment horizontal="center" vertical="center" wrapText="1"/>
    </xf>
    <xf numFmtId="0" fontId="2" fillId="11" borderId="19" xfId="0">
      <alignment horizontal="center" vertical="center" wrapText="1"/>
    </xf>
    <xf numFmtId="0" fontId="3" fillId="11" borderId="24" xfId="0">
      <alignment horizontal="center" vertical="center" wrapText="1"/>
    </xf>
    <xf numFmtId="0" fontId="3" fillId="11" borderId="7" xfId="0">
      <alignment horizontal="center" vertical="center" wrapText="1"/>
    </xf>
    <xf numFmtId="0" fontId="3" fillId="11" borderId="25" xfId="0">
      <alignment horizontal="center" vertical="center" wrapText="1"/>
    </xf>
    <xf numFmtId="0" fontId="4" fillId="11" borderId="7" xfId="0">
      <alignment horizontal="center" vertical="center"/>
    </xf>
    <xf numFmtId="0" fontId="2" fillId="12" borderId="19" xfId="0">
      <alignment horizontal="center" vertical="center" wrapText="1"/>
    </xf>
    <xf numFmtId="0" fontId="3" fillId="12" borderId="24" xfId="0">
      <alignment horizontal="center" vertical="center" wrapText="1"/>
    </xf>
    <xf numFmtId="0" fontId="3" fillId="12" borderId="7" xfId="0">
      <alignment horizontal="center" vertical="center" wrapText="1"/>
    </xf>
    <xf numFmtId="0" fontId="3" fillId="12" borderId="25" xfId="0">
      <alignment horizontal="center" vertical="center" wrapText="1"/>
    </xf>
    <xf numFmtId="0" fontId="4" fillId="12" borderId="7" xfId="0">
      <alignment horizontal="center" vertical="center" wrapText="1"/>
    </xf>
    <xf numFmtId="0" fontId="2" fillId="2" borderId="19" xfId="0">
      <alignment horizontal="center" vertical="center" wrapText="1"/>
    </xf>
    <xf numFmtId="0" fontId="3" fillId="2" borderId="24" xfId="0">
      <alignment horizontal="center" vertical="center" wrapText="1"/>
    </xf>
    <xf numFmtId="0" fontId="3" fillId="2" borderId="7" xfId="0">
      <alignment horizontal="center" vertical="center" wrapText="1"/>
    </xf>
    <xf numFmtId="0" fontId="3" fillId="2" borderId="25" xfId="0">
      <alignment horizontal="center" vertical="center" wrapText="1"/>
    </xf>
    <xf numFmtId="0" fontId="4" fillId="2" borderId="7" xfId="0">
      <alignment horizontal="center" vertical="center" wrapText="1"/>
    </xf>
    <xf numFmtId="0" fontId="2" fillId="13" borderId="19" xfId="0">
      <alignment horizontal="center" vertical="center" wrapText="1"/>
    </xf>
    <xf numFmtId="0" fontId="3" fillId="13" borderId="24" xfId="0">
      <alignment horizontal="center" vertical="center" wrapText="1"/>
    </xf>
    <xf numFmtId="0" fontId="3" fillId="13" borderId="7" xfId="0">
      <alignment horizontal="center" vertical="center" wrapText="1"/>
    </xf>
    <xf numFmtId="0" fontId="3" fillId="13" borderId="25" xfId="0">
      <alignment horizontal="center" vertical="center" wrapText="1"/>
    </xf>
    <xf numFmtId="0" fontId="4" fillId="0" borderId="23" xfId="0">
      <alignment vertical="center"/>
    </xf>
    <xf numFmtId="0" fontId="4" fillId="13" borderId="7" xfId="0">
      <alignment horizontal="center" vertical="center" wrapText="1"/>
    </xf>
    <xf numFmtId="0" fontId="8" fillId="0" borderId="16" xfId="0">
      <alignment vertical="center"/>
    </xf>
    <xf numFmtId="0" fontId="8" fillId="0" borderId="17" xfId="0">
      <alignment horizontal="center" vertical="center"/>
    </xf>
    <xf numFmtId="0" fontId="8" fillId="0" borderId="18" xfId="0">
      <alignment vertical="center"/>
    </xf>
    <xf numFmtId="0" fontId="9" fillId="14" borderId="33" xfId="0">
      <alignment horizontal="center" vertical="center"/>
    </xf>
    <xf numFmtId="0" fontId="0" fillId="0" borderId="34" xfId="0"/>
    <xf numFmtId="0" fontId="0" fillId="0" borderId="35" xfId="0"/>
    <xf numFmtId="0" fontId="8" fillId="0" borderId="22" xfId="0">
      <alignment vertical="center"/>
    </xf>
    <xf numFmtId="0" fontId="8" fillId="0" borderId="0" xfId="0">
      <alignment horizontal="center" vertical="center"/>
    </xf>
    <xf numFmtId="0" fontId="8" fillId="0" borderId="23" xfId="0">
      <alignment vertical="center"/>
    </xf>
    <xf numFmtId="0" fontId="10" fillId="14" borderId="24" xfId="0">
      <alignment horizontal="center" vertical="center"/>
    </xf>
    <xf numFmtId="0" fontId="10" fillId="14" borderId="7" xfId="0">
      <alignment horizontal="center" vertical="center"/>
    </xf>
    <xf numFmtId="0" fontId="10" fillId="14" borderId="36" xfId="0">
      <alignment horizontal="center" vertical="center"/>
    </xf>
    <xf numFmtId="0" fontId="8" fillId="0" borderId="37" xfId="0">
      <alignment vertical="center"/>
    </xf>
    <xf numFmtId="0" fontId="8" fillId="0" borderId="7" xfId="0">
      <alignment horizontal="center" vertical="center"/>
    </xf>
    <xf numFmtId="0" fontId="8" fillId="0" borderId="32" xfId="0">
      <alignment vertical="center" wrapText="1"/>
    </xf>
    <xf numFmtId="0" fontId="8" fillId="0" borderId="38" xfId="0">
      <alignment horizontal="center" vertical="center"/>
    </xf>
    <xf numFmtId="0" fontId="8" fillId="0" borderId="23" xfId="0">
      <alignment vertical="center" wrapText="1"/>
    </xf>
    <xf numFmtId="0" fontId="8" fillId="0" borderId="36" xfId="0">
      <alignment vertical="center"/>
    </xf>
    <xf numFmtId="0" fontId="8" fillId="0" borderId="24" xfId="0">
      <alignment vertical="center"/>
    </xf>
    <xf numFmtId="10" fontId="8" fillId="0" borderId="7" xfId="0">
      <alignment horizontal="right" vertical="center"/>
    </xf>
    <xf numFmtId="0" fontId="8" fillId="14" borderId="7" xfId="0">
      <alignment horizontal="center" vertical="center"/>
    </xf>
    <xf numFmtId="0" fontId="8" fillId="0" borderId="32" xfId="0">
      <alignment vertical="center"/>
    </xf>
    <xf numFmtId="0" fontId="8" fillId="0" borderId="0" xfId="0">
      <alignment horizontal="left" vertical="center"/>
    </xf>
    <xf numFmtId="0" fontId="8" fillId="0" borderId="28" xfId="0">
      <alignment vertical="center"/>
    </xf>
    <xf numFmtId="0" fontId="8" fillId="0" borderId="29" xfId="0">
      <alignment horizontal="center" vertical="center"/>
    </xf>
    <xf numFmtId="0" fontId="8" fillId="0" borderId="30" xfId="0">
      <alignment vertical="center"/>
    </xf>
    <xf numFmtId="0" fontId="9" fillId="15" borderId="33" xfId="0">
      <alignment horizontal="center" vertical="center"/>
    </xf>
    <xf numFmtId="0" fontId="10" fillId="15" borderId="24" xfId="0">
      <alignment horizontal="center" vertical="center"/>
    </xf>
    <xf numFmtId="0" fontId="10" fillId="15" borderId="7" xfId="0">
      <alignment horizontal="center" vertical="center"/>
    </xf>
    <xf numFmtId="0" fontId="10" fillId="15" borderId="36" xfId="0">
      <alignment horizontal="center" vertical="center"/>
    </xf>
    <xf numFmtId="0" fontId="8" fillId="15" borderId="7" xfId="0">
      <alignment horizontal="center" vertical="center"/>
    </xf>
    <xf numFmtId="0" fontId="9" fillId="16" borderId="33" xfId="0">
      <alignment horizontal="center" vertical="center"/>
    </xf>
    <xf numFmtId="0" fontId="10" fillId="16" borderId="24" xfId="0">
      <alignment horizontal="center" vertical="center"/>
    </xf>
    <xf numFmtId="0" fontId="10" fillId="16" borderId="7" xfId="0">
      <alignment horizontal="center" vertical="center"/>
    </xf>
    <xf numFmtId="0" fontId="10" fillId="16" borderId="36" xfId="0">
      <alignment horizontal="center" vertical="center"/>
    </xf>
    <xf numFmtId="0" fontId="8" fillId="16" borderId="7" xfId="0">
      <alignment horizontal="center" vertical="center"/>
    </xf>
    <xf numFmtId="0" fontId="9" fillId="17" borderId="33" xfId="0">
      <alignment horizontal="center" vertical="center"/>
    </xf>
    <xf numFmtId="0" fontId="10" fillId="17" borderId="24" xfId="0">
      <alignment horizontal="center" vertical="center"/>
    </xf>
    <xf numFmtId="0" fontId="10" fillId="17" borderId="7" xfId="0">
      <alignment horizontal="center" vertical="center"/>
    </xf>
    <xf numFmtId="0" fontId="10" fillId="17" borderId="36" xfId="0">
      <alignment horizontal="center" vertical="center"/>
    </xf>
    <xf numFmtId="0" fontId="8" fillId="17" borderId="7" xfId="0">
      <alignment horizontal="center" vertical="center"/>
    </xf>
    <xf numFmtId="0" fontId="9" fillId="18" borderId="33" xfId="0">
      <alignment horizontal="center" vertical="center"/>
    </xf>
    <xf numFmtId="0" fontId="10" fillId="18" borderId="24" xfId="0">
      <alignment horizontal="center" vertical="center"/>
    </xf>
    <xf numFmtId="0" fontId="10" fillId="18" borderId="7" xfId="0">
      <alignment horizontal="center" vertical="center"/>
    </xf>
    <xf numFmtId="0" fontId="10" fillId="18" borderId="36" xfId="0">
      <alignment horizontal="center" vertical="center"/>
    </xf>
    <xf numFmtId="0" fontId="8" fillId="18" borderId="7" xfId="0">
      <alignment horizontal="center" vertical="center"/>
    </xf>
    <xf numFmtId="0" fontId="8" fillId="0" borderId="0" xfId="0">
      <alignment horizontal="left" vertical="center" wrapText="1"/>
    </xf>
    <xf numFmtId="0" fontId="9" fillId="19" borderId="33" xfId="0">
      <alignment horizontal="center" vertical="center"/>
    </xf>
    <xf numFmtId="0" fontId="10" fillId="19" borderId="24" xfId="0">
      <alignment horizontal="center" vertical="center"/>
    </xf>
    <xf numFmtId="0" fontId="10" fillId="19" borderId="7" xfId="0">
      <alignment horizontal="center" vertical="center"/>
    </xf>
    <xf numFmtId="0" fontId="10" fillId="19" borderId="36" xfId="0">
      <alignment horizontal="center" vertical="center"/>
    </xf>
    <xf numFmtId="0" fontId="8" fillId="19" borderId="7" xfId="0">
      <alignment horizontal="center" vertical="center"/>
    </xf>
    <xf numFmtId="0" fontId="9" fillId="20" borderId="33" xfId="0">
      <alignment horizontal="center" vertical="center"/>
    </xf>
    <xf numFmtId="0" fontId="10" fillId="20" borderId="24" xfId="0">
      <alignment horizontal="center" vertical="center"/>
    </xf>
    <xf numFmtId="0" fontId="10" fillId="20" borderId="7" xfId="0">
      <alignment horizontal="center" vertical="center"/>
    </xf>
    <xf numFmtId="0" fontId="10" fillId="20" borderId="36" xfId="0">
      <alignment horizontal="center" vertical="center"/>
    </xf>
    <xf numFmtId="0" fontId="8" fillId="20" borderId="7" xfId="0">
      <alignment horizontal="center" vertical="center"/>
    </xf>
    <xf numFmtId="0" fontId="9" fillId="21" borderId="33" xfId="0">
      <alignment horizontal="center" vertical="center"/>
    </xf>
    <xf numFmtId="0" fontId="10" fillId="21" borderId="24" xfId="0">
      <alignment horizontal="center" vertical="center"/>
    </xf>
    <xf numFmtId="0" fontId="10" fillId="21" borderId="7" xfId="0">
      <alignment horizontal="center" vertical="center"/>
    </xf>
    <xf numFmtId="0" fontId="10" fillId="21" borderId="36" xfId="0">
      <alignment horizontal="center" vertical="center" wrapText="1"/>
    </xf>
    <xf numFmtId="0" fontId="8" fillId="21" borderId="7" xfId="0">
      <alignment horizontal="center" vertical="center"/>
    </xf>
    <xf numFmtId="0" fontId="9" fillId="22" borderId="33" xfId="0">
      <alignment horizontal="center" vertical="center"/>
    </xf>
    <xf numFmtId="0" fontId="10" fillId="22" borderId="24" xfId="0">
      <alignment horizontal="center" vertical="center"/>
    </xf>
    <xf numFmtId="0" fontId="10" fillId="22" borderId="7" xfId="0">
      <alignment horizontal="center" vertical="center"/>
    </xf>
    <xf numFmtId="0" fontId="10" fillId="22" borderId="36" xfId="0">
      <alignment horizontal="center" vertical="center"/>
    </xf>
    <xf numFmtId="0" fontId="8" fillId="22" borderId="7" xfId="0">
      <alignment horizontal="center" vertical="center"/>
    </xf>
    <xf numFmtId="0" fontId="2" fillId="0" borderId="39" xfId="0">
      <alignment horizontal="center" vertical="center" wrapText="1"/>
    </xf>
    <xf numFmtId="0" fontId="2" fillId="0" borderId="40" xfId="0">
      <alignment horizontal="center" vertical="center" wrapText="1"/>
    </xf>
    <xf numFmtId="0" fontId="2" fillId="0" borderId="41" xfId="0">
      <alignment horizontal="center" vertical="center" wrapText="1"/>
    </xf>
    <xf numFmtId="0" fontId="6" fillId="0" borderId="0" xfId="0">
      <alignment horizontal="center" vertical="center" wrapText="1"/>
    </xf>
    <xf numFmtId="0" fontId="2" fillId="5" borderId="42" xfId="0">
      <alignment horizontal="center" vertical="center" wrapText="1"/>
    </xf>
    <xf numFmtId="0" fontId="0" fillId="0" borderId="43" xfId="0"/>
    <xf numFmtId="0" fontId="4" fillId="0" borderId="5" xfId="0">
      <alignment vertical="center" wrapText="1"/>
    </xf>
    <xf numFmtId="0" fontId="4" fillId="0" borderId="6" xfId="0">
      <alignment vertical="center" wrapText="1"/>
    </xf>
    <xf numFmtId="0" fontId="3" fillId="5" borderId="44" xfId="0">
      <alignment horizontal="center" vertical="center" wrapText="1"/>
    </xf>
    <xf numFmtId="0" fontId="3" fillId="5" borderId="7" xfId="0">
      <alignment horizontal="left" vertical="center" wrapText="1"/>
    </xf>
    <xf numFmtId="0" fontId="3" fillId="5" borderId="8" xfId="0">
      <alignment horizontal="center" vertical="center" wrapText="1"/>
    </xf>
    <xf numFmtId="0" fontId="4" fillId="0" borderId="44" xfId="0">
      <alignment vertical="center" wrapText="1"/>
    </xf>
    <xf numFmtId="0" fontId="4" fillId="0" borderId="8" xfId="0">
      <alignment vertical="center" wrapText="1"/>
    </xf>
    <xf numFmtId="10" fontId="4" fillId="0" borderId="0" xfId="0">
      <alignment horizontal="center" vertical="center"/>
    </xf>
    <xf numFmtId="0" fontId="3" fillId="0" borderId="44" xfId="0">
      <alignment vertical="center" wrapText="1"/>
    </xf>
    <xf numFmtId="2" fontId="4" fillId="5" borderId="7" xfId="0">
      <alignment horizontal="center" vertical="center" wrapText="1"/>
    </xf>
    <xf numFmtId="0" fontId="4" fillId="0" borderId="13" xfId="0">
      <alignment vertical="center" wrapText="1"/>
    </xf>
    <xf numFmtId="0" fontId="4" fillId="0" borderId="14" xfId="0">
      <alignment horizontal="center" vertical="center" wrapText="1"/>
    </xf>
    <xf numFmtId="0" fontId="4" fillId="0" borderId="15" xfId="0">
      <alignment vertical="center" wrapText="1"/>
    </xf>
    <xf numFmtId="0" fontId="4" fillId="0" borderId="39" xfId="0">
      <alignment vertical="center" wrapText="1"/>
    </xf>
    <xf numFmtId="0" fontId="4" fillId="0" borderId="40" xfId="0">
      <alignment horizontal="center" vertical="center" wrapText="1"/>
    </xf>
    <xf numFmtId="0" fontId="4" fillId="0" borderId="41" xfId="0">
      <alignment vertical="center" wrapText="1"/>
    </xf>
    <xf numFmtId="0" fontId="2" fillId="3" borderId="42" xfId="0">
      <alignment horizontal="center" vertical="center" wrapText="1"/>
    </xf>
    <xf numFmtId="0" fontId="3" fillId="3" borderId="44" xfId="0">
      <alignment horizontal="center" vertical="center" wrapText="1"/>
    </xf>
    <xf numFmtId="0" fontId="3" fillId="3" borderId="7" xfId="0">
      <alignment horizontal="left" vertical="center" wrapText="1"/>
    </xf>
    <xf numFmtId="0" fontId="3" fillId="3" borderId="8" xfId="0">
      <alignment horizontal="center" vertical="center" wrapText="1"/>
    </xf>
    <xf numFmtId="10" fontId="4" fillId="0" borderId="0" xfId="0">
      <alignment vertical="center"/>
    </xf>
    <xf numFmtId="2" fontId="4" fillId="3" borderId="7" xfId="0">
      <alignment horizontal="center" vertical="center" wrapText="1"/>
    </xf>
    <xf numFmtId="0" fontId="2" fillId="7" borderId="42" xfId="0">
      <alignment horizontal="center" vertical="center" wrapText="1"/>
    </xf>
    <xf numFmtId="0" fontId="3" fillId="7" borderId="44" xfId="0">
      <alignment horizontal="center" vertical="center" wrapText="1"/>
    </xf>
    <xf numFmtId="0" fontId="3" fillId="7" borderId="7" xfId="0">
      <alignment horizontal="left" vertical="center" wrapText="1"/>
    </xf>
    <xf numFmtId="0" fontId="3" fillId="7" borderId="8" xfId="0">
      <alignment horizontal="center" vertical="center" wrapText="1"/>
    </xf>
    <xf numFmtId="2" fontId="4" fillId="7" borderId="7" xfId="0">
      <alignment horizontal="center" vertical="center" wrapText="1"/>
    </xf>
    <xf numFmtId="0" fontId="2" fillId="8" borderId="42" xfId="0">
      <alignment horizontal="center" vertical="center" wrapText="1"/>
    </xf>
    <xf numFmtId="0" fontId="3" fillId="8" borderId="44" xfId="0">
      <alignment horizontal="center" vertical="center" wrapText="1"/>
    </xf>
    <xf numFmtId="0" fontId="3" fillId="8" borderId="7" xfId="0">
      <alignment horizontal="left" vertical="center" wrapText="1"/>
    </xf>
    <xf numFmtId="0" fontId="3" fillId="8" borderId="8" xfId="0">
      <alignment horizontal="center" vertical="center" wrapText="1"/>
    </xf>
    <xf numFmtId="2" fontId="4" fillId="8" borderId="7" xfId="0">
      <alignment horizontal="center" vertical="center" wrapText="1"/>
    </xf>
    <xf numFmtId="0" fontId="2" fillId="4" borderId="42" xfId="0">
      <alignment horizontal="center" vertical="center" wrapText="1"/>
    </xf>
    <xf numFmtId="0" fontId="3" fillId="4" borderId="44" xfId="0">
      <alignment horizontal="center" vertical="center" wrapText="1"/>
    </xf>
    <xf numFmtId="0" fontId="3" fillId="4" borderId="7" xfId="0">
      <alignment horizontal="left" vertical="center" wrapText="1"/>
    </xf>
    <xf numFmtId="0" fontId="3" fillId="4" borderId="8" xfId="0">
      <alignment horizontal="center" vertical="center" wrapText="1"/>
    </xf>
    <xf numFmtId="1" fontId="4" fillId="0" borderId="7" xfId="0">
      <alignment horizontal="center" vertical="center" wrapText="1"/>
    </xf>
    <xf numFmtId="2" fontId="4" fillId="4" borderId="7" xfId="0">
      <alignment horizontal="center" vertical="center" wrapText="1"/>
    </xf>
    <xf numFmtId="0" fontId="2" fillId="9" borderId="42" xfId="0">
      <alignment horizontal="center" vertical="center" wrapText="1"/>
    </xf>
    <xf numFmtId="0" fontId="3" fillId="9" borderId="44" xfId="0">
      <alignment horizontal="center" vertical="center" wrapText="1"/>
    </xf>
    <xf numFmtId="0" fontId="3" fillId="9" borderId="7" xfId="0">
      <alignment horizontal="left" vertical="center" wrapText="1"/>
    </xf>
    <xf numFmtId="0" fontId="3" fillId="9" borderId="8" xfId="0">
      <alignment horizontal="center" vertical="center" wrapText="1"/>
    </xf>
    <xf numFmtId="2" fontId="4" fillId="9" borderId="7" xfId="0">
      <alignment horizontal="center" vertical="center" wrapText="1"/>
    </xf>
    <xf numFmtId="0" fontId="2" fillId="10" borderId="42" xfId="0">
      <alignment horizontal="center" vertical="center" wrapText="1"/>
    </xf>
    <xf numFmtId="0" fontId="3" fillId="10" borderId="44" xfId="0">
      <alignment horizontal="center" vertical="center" wrapText="1"/>
    </xf>
    <xf numFmtId="0" fontId="3" fillId="10" borderId="7" xfId="0">
      <alignment horizontal="left" vertical="center" wrapText="1"/>
    </xf>
    <xf numFmtId="0" fontId="3" fillId="10" borderId="8" xfId="0">
      <alignment horizontal="center" vertical="center" wrapText="1"/>
    </xf>
    <xf numFmtId="2" fontId="4" fillId="10" borderId="7" xfId="0">
      <alignment horizontal="center" vertical="center" wrapText="1"/>
    </xf>
    <xf numFmtId="0" fontId="2" fillId="11" borderId="42" xfId="0">
      <alignment horizontal="center" vertical="center" wrapText="1"/>
    </xf>
    <xf numFmtId="0" fontId="3" fillId="11" borderId="44" xfId="0">
      <alignment horizontal="center" vertical="center" wrapText="1"/>
    </xf>
    <xf numFmtId="0" fontId="3" fillId="11" borderId="7" xfId="0">
      <alignment horizontal="left" vertical="center" wrapText="1"/>
    </xf>
    <xf numFmtId="0" fontId="3" fillId="11" borderId="8" xfId="0">
      <alignment horizontal="center" vertical="center" wrapText="1"/>
    </xf>
    <xf numFmtId="0" fontId="4" fillId="0" borderId="0" xfId="0">
      <alignment horizontal="center" vertical="center"/>
    </xf>
    <xf numFmtId="2" fontId="4" fillId="11" borderId="7" xfId="0">
      <alignment horizontal="center" vertical="center" wrapText="1"/>
    </xf>
    <xf numFmtId="0" fontId="2" fillId="12" borderId="42" xfId="0">
      <alignment horizontal="center" vertical="center" wrapText="1"/>
    </xf>
    <xf numFmtId="0" fontId="3" fillId="12" borderId="44" xfId="0">
      <alignment horizontal="center" vertical="center" wrapText="1"/>
    </xf>
    <xf numFmtId="0" fontId="3" fillId="12" borderId="7" xfId="0">
      <alignment horizontal="left" vertical="center" wrapText="1"/>
    </xf>
    <xf numFmtId="0" fontId="3" fillId="12" borderId="8" xfId="0">
      <alignment horizontal="center" vertical="center" wrapText="1"/>
    </xf>
    <xf numFmtId="2" fontId="4" fillId="12" borderId="7" xfId="0">
      <alignment horizontal="center" vertical="center" wrapText="1"/>
    </xf>
    <xf numFmtId="0" fontId="2" fillId="2" borderId="42" xfId="0">
      <alignment horizontal="center" vertical="center" wrapText="1"/>
    </xf>
    <xf numFmtId="0" fontId="3" fillId="2" borderId="44" xfId="0">
      <alignment horizontal="center" vertical="center" wrapText="1"/>
    </xf>
    <xf numFmtId="0" fontId="3" fillId="2" borderId="7" xfId="0">
      <alignment horizontal="left" vertical="center" wrapText="1"/>
    </xf>
    <xf numFmtId="0" fontId="3" fillId="2" borderId="8" xfId="0">
      <alignment horizontal="center" vertical="center" wrapText="1"/>
    </xf>
    <xf numFmtId="2" fontId="4" fillId="2" borderId="7" xfId="0">
      <alignment horizontal="center" vertical="center" wrapText="1"/>
    </xf>
    <xf numFmtId="0" fontId="2" fillId="13" borderId="42" xfId="0">
      <alignment horizontal="center" vertical="center" wrapText="1"/>
    </xf>
    <xf numFmtId="0" fontId="4" fillId="0" borderId="0" xfId="0">
      <alignment vertical="bottom" wrapText="1"/>
    </xf>
    <xf numFmtId="0" fontId="3" fillId="13" borderId="44" xfId="0">
      <alignment horizontal="center" vertical="center" wrapText="1"/>
    </xf>
    <xf numFmtId="0" fontId="3" fillId="13" borderId="7" xfId="0">
      <alignment horizontal="left" vertical="center" wrapText="1"/>
    </xf>
    <xf numFmtId="0" fontId="3" fillId="13" borderId="8" xfId="0">
      <alignment horizontal="center" vertical="center" wrapText="1"/>
    </xf>
    <xf numFmtId="0" fontId="8" fillId="0" borderId="0" xfId="0"/>
    <xf numFmtId="0" fontId="8" fillId="0" borderId="0" xfId="0">
      <alignment horizontal="center" vertical="bottom"/>
    </xf>
    <xf numFmtId="0" fontId="8" fillId="0" borderId="0" xfId="0">
      <alignment vertical="bottom" wrapText="1"/>
    </xf>
    <xf numFmtId="0" fontId="9" fillId="0" borderId="0" xfId="0">
      <alignment horizontal="center" vertical="bottom"/>
    </xf>
    <xf numFmtId="2" fontId="4" fillId="13" borderId="7" xfId="0">
      <alignment horizontal="center" vertical="center" wrapText="1"/>
    </xf>
    <xf numFmtId="0" fontId="10" fillId="0" borderId="0" xfId="0">
      <alignment horizontal="center" vertical="bottom"/>
    </xf>
    <xf numFmtId="0" fontId="10" fillId="0" borderId="0" xfId="0">
      <alignment horizontal="center" vertical="bottom" wrapText="1"/>
    </xf>
    <xf numFmtId="0" fontId="2" fillId="14" borderId="42" xfId="0">
      <alignment horizontal="center" vertical="center" wrapText="1"/>
    </xf>
    <xf numFmtId="10" fontId="8" fillId="0" borderId="0" xfId="0">
      <alignment horizontal="right" vertical="bottom"/>
    </xf>
    <xf numFmtId="0" fontId="8" fillId="0" borderId="0" xfId="0">
      <alignment horizontal="left" vertical="bottom"/>
    </xf>
    <xf numFmtId="0" fontId="3" fillId="14" borderId="44" xfId="0">
      <alignment horizontal="center" vertical="center" wrapText="1"/>
    </xf>
    <xf numFmtId="0" fontId="3" fillId="14" borderId="7" xfId="0">
      <alignment horizontal="left" vertical="center" wrapText="1"/>
    </xf>
    <xf numFmtId="0" fontId="3" fillId="14" borderId="8" xfId="0">
      <alignment horizontal="center" vertical="center" wrapText="1"/>
    </xf>
    <xf numFmtId="2" fontId="4" fillId="14" borderId="7" xfId="0">
      <alignment horizontal="center" vertical="center" wrapText="1"/>
    </xf>
    <xf numFmtId="0" fontId="2" fillId="15" borderId="42" xfId="0">
      <alignment horizontal="center" vertical="center" wrapText="1"/>
    </xf>
    <xf numFmtId="0" fontId="3" fillId="15" borderId="44" xfId="0">
      <alignment horizontal="center" vertical="center" wrapText="1"/>
    </xf>
    <xf numFmtId="0" fontId="3" fillId="15" borderId="7" xfId="0">
      <alignment horizontal="left" vertical="center" wrapText="1"/>
    </xf>
    <xf numFmtId="0" fontId="3" fillId="15" borderId="8" xfId="0">
      <alignment horizontal="center" vertical="center" wrapText="1"/>
    </xf>
    <xf numFmtId="2" fontId="4" fillId="15" borderId="7" xfId="0">
      <alignment horizontal="center" vertical="center" wrapText="1"/>
    </xf>
    <xf numFmtId="0" fontId="2" fillId="16" borderId="42" xfId="0">
      <alignment horizontal="center" vertical="center" wrapText="1"/>
    </xf>
    <xf numFmtId="0" fontId="3" fillId="16" borderId="44" xfId="0">
      <alignment horizontal="center" vertical="center" wrapText="1"/>
    </xf>
    <xf numFmtId="0" fontId="3" fillId="16" borderId="7" xfId="0">
      <alignment horizontal="left" vertical="center" wrapText="1"/>
    </xf>
    <xf numFmtId="0" fontId="3" fillId="16" borderId="8" xfId="0">
      <alignment horizontal="center" vertical="center" wrapText="1"/>
    </xf>
    <xf numFmtId="2" fontId="4" fillId="16" borderId="7" xfId="0">
      <alignment horizontal="center" vertical="center"/>
    </xf>
    <xf numFmtId="0" fontId="2" fillId="17" borderId="42" xfId="0">
      <alignment horizontal="center" vertical="center" wrapText="1"/>
    </xf>
    <xf numFmtId="0" fontId="3" fillId="17" borderId="44" xfId="0">
      <alignment horizontal="center" vertical="center" wrapText="1"/>
    </xf>
    <xf numFmtId="0" fontId="3" fillId="17" borderId="7" xfId="0">
      <alignment horizontal="left" vertical="center" wrapText="1"/>
    </xf>
    <xf numFmtId="0" fontId="3" fillId="17" borderId="8" xfId="0">
      <alignment horizontal="center" vertical="center" wrapText="1"/>
    </xf>
    <xf numFmtId="2" fontId="4" fillId="17" borderId="7" xfId="0">
      <alignment horizontal="center" vertical="center" wrapText="1"/>
    </xf>
    <xf numFmtId="0" fontId="2" fillId="18" borderId="42" xfId="0">
      <alignment horizontal="center" vertical="center" wrapText="1"/>
    </xf>
    <xf numFmtId="0" fontId="8" fillId="0" borderId="0" xfId="0">
      <alignment horizontal="left" vertical="bottom" wrapText="1"/>
    </xf>
    <xf numFmtId="0" fontId="3" fillId="18" borderId="44" xfId="0">
      <alignment horizontal="center" vertical="center" wrapText="1"/>
    </xf>
    <xf numFmtId="0" fontId="3" fillId="18" borderId="7" xfId="0">
      <alignment horizontal="left" vertical="center" wrapText="1"/>
    </xf>
    <xf numFmtId="0" fontId="3" fillId="18" borderId="8" xfId="0">
      <alignment horizontal="center" vertical="center" wrapText="1"/>
    </xf>
    <xf numFmtId="2" fontId="4" fillId="18" borderId="7" xfId="0">
      <alignment horizontal="center" vertical="center" wrapText="1"/>
    </xf>
    <xf numFmtId="0" fontId="2" fillId="19" borderId="42" xfId="0">
      <alignment horizontal="center" vertical="center" wrapText="1"/>
    </xf>
    <xf numFmtId="0" fontId="3" fillId="19" borderId="44" xfId="0">
      <alignment horizontal="center" vertical="center" wrapText="1"/>
    </xf>
    <xf numFmtId="0" fontId="3" fillId="19" borderId="7" xfId="0">
      <alignment horizontal="left" vertical="center" wrapText="1"/>
    </xf>
    <xf numFmtId="0" fontId="3" fillId="19" borderId="8" xfId="0">
      <alignment horizontal="center" vertical="center" wrapText="1"/>
    </xf>
    <xf numFmtId="2" fontId="4" fillId="19" borderId="7" xfId="0">
      <alignment horizontal="center" vertical="center" wrapText="1"/>
    </xf>
    <xf numFmtId="0" fontId="2" fillId="20" borderId="42" xfId="0">
      <alignment horizontal="center" vertical="center" wrapText="1"/>
    </xf>
    <xf numFmtId="0" fontId="3" fillId="20" borderId="44" xfId="0">
      <alignment horizontal="center" vertical="center" wrapText="1"/>
    </xf>
    <xf numFmtId="0" fontId="3" fillId="20" borderId="7" xfId="0">
      <alignment horizontal="left" vertical="center" wrapText="1"/>
    </xf>
    <xf numFmtId="0" fontId="3" fillId="20" borderId="8" xfId="0">
      <alignment horizontal="center" vertical="center" wrapText="1"/>
    </xf>
    <xf numFmtId="2" fontId="4" fillId="20" borderId="7" xfId="0">
      <alignment horizontal="center" vertical="center" wrapText="1"/>
    </xf>
    <xf numFmtId="0" fontId="2" fillId="21" borderId="42" xfId="0">
      <alignment horizontal="center" vertical="center" wrapText="1"/>
    </xf>
    <xf numFmtId="0" fontId="3" fillId="21" borderId="44" xfId="0">
      <alignment horizontal="center" vertical="center" wrapText="1"/>
    </xf>
    <xf numFmtId="0" fontId="3" fillId="21" borderId="7" xfId="0">
      <alignment horizontal="left" vertical="center" wrapText="1"/>
    </xf>
    <xf numFmtId="0" fontId="3" fillId="21" borderId="8" xfId="0">
      <alignment horizontal="center" vertical="center" wrapText="1"/>
    </xf>
    <xf numFmtId="2" fontId="4" fillId="21" borderId="7" xfId="0">
      <alignment horizontal="center" vertical="center" wrapText="1"/>
    </xf>
    <xf numFmtId="0" fontId="2" fillId="22" borderId="42" xfId="0">
      <alignment horizontal="center" vertical="center" wrapText="1"/>
    </xf>
    <xf numFmtId="0" fontId="3" fillId="22" borderId="44" xfId="0">
      <alignment horizontal="center" vertical="center" wrapText="1"/>
    </xf>
    <xf numFmtId="0" fontId="3" fillId="22" borderId="7" xfId="0">
      <alignment horizontal="left" vertical="center" wrapText="1"/>
    </xf>
    <xf numFmtId="0" fontId="3" fillId="22" borderId="8" xfId="0">
      <alignment horizontal="center" vertical="center" wrapText="1"/>
    </xf>
    <xf numFmtId="2" fontId="4" fillId="22" borderId="7" xfId="0">
      <alignment horizontal="center" vertical="center" wrapText="1"/>
    </xf>
    <xf numFmtId="0" fontId="3" fillId="0" borderId="0" xfId="0"/>
    <xf numFmtId="0" fontId="3" fillId="17" borderId="7" xfId="0">
      <alignment horizontal="center" vertical="bottom"/>
    </xf>
    <xf numFmtId="0" fontId="3" fillId="0" borderId="0" xfId="0">
      <alignment horizontal="center" vertical="bottom"/>
    </xf>
    <xf numFmtId="0" fontId="4" fillId="4" borderId="7" xfId="0"/>
    <xf numFmtId="0" fontId="4" fillId="4" borderId="7" xfId="0">
      <alignment vertical="center" wrapText="1"/>
    </xf>
    <xf numFmtId="0" fontId="4" fillId="3" borderId="7" xfId="0"/>
    <xf numFmtId="0" fontId="4" fillId="3" borderId="7" xfId="0">
      <alignment vertical="center" wrapText="1"/>
    </xf>
    <xf numFmtId="0" fontId="4" fillId="8" borderId="7" xfId="0"/>
    <xf numFmtId="0" fontId="4" fillId="8" borderId="7" xfId="0">
      <alignment vertical="center" wrapText="1"/>
    </xf>
    <xf numFmtId="0" fontId="3" fillId="7" borderId="7" xfId="0">
      <alignment horizontal="center" vertical="center"/>
    </xf>
    <xf numFmtId="0" fontId="4" fillId="7" borderId="7" xfId="0"/>
    <xf numFmtId="0" fontId="4" fillId="7" borderId="7" xfId="0">
      <alignment vertical="center" wrapText="1"/>
    </xf>
    <xf numFmtId="0" fontId="3" fillId="4" borderId="7" xfId="0">
      <alignment horizontal="center" vertical="center"/>
    </xf>
    <xf numFmtId="0" fontId="4" fillId="7" borderId="7" xfId="0">
      <alignment vertical="center"/>
    </xf>
    <xf numFmtId="0" fontId="3" fillId="0" borderId="0" xfId="0">
      <alignment vertical="center"/>
    </xf>
    <xf numFmtId="0" fontId="11" fillId="0" borderId="0" xfId="0"/>
    <xf numFmtId="0" fontId="7" fillId="0" borderId="0" xfId="0"/>
    <xf numFmtId="0" fontId="7" fillId="0" borderId="0" xfId="0">
      <alignment horizontal="center" vertical="center" textRotation="90" wrapText="1"/>
    </xf>
    <xf numFmtId="0" fontId="12" fillId="10" borderId="0" xfId="0">
      <alignment horizontal="center" vertical="center" textRotation="90" wrapText="1"/>
    </xf>
    <xf numFmtId="0" fontId="11" fillId="2" borderId="0" xfId="0">
      <alignment horizontal="center" vertical="bottom"/>
    </xf>
    <xf numFmtId="0" fontId="12" fillId="10" borderId="0" xfId="0">
      <alignment horizontal="center" vertical="center" textRotation="180" wrapText="1"/>
    </xf>
    <xf numFmtId="0" fontId="12" fillId="0" borderId="0" xfId="0"/>
    <xf numFmtId="0" fontId="13" fillId="0" borderId="0" xfId="0"/>
    <xf numFmtId="0" fontId="13" fillId="2" borderId="0" xfId="0">
      <alignment horizontal="center" vertical="bottom" wrapText="1"/>
    </xf>
    <xf numFmtId="0" fontId="13" fillId="2" borderId="0" xfId="0">
      <alignment horizontal="center" vertical="center" wrapText="1"/>
    </xf>
    <xf numFmtId="0" fontId="12" fillId="0" borderId="0" xfId="0">
      <alignment horizontal="center" vertical="center" wrapText="1"/>
    </xf>
    <xf numFmtId="0" fontId="13" fillId="0" borderId="0" xfId="0">
      <alignment horizontal="center" vertical="center" wrapText="1"/>
    </xf>
    <xf numFmtId="0" fontId="13" fillId="10" borderId="0" xfId="0">
      <alignment horizontal="center" vertical="center" wrapText="1"/>
    </xf>
    <xf numFmtId="0" fontId="11" fillId="23" borderId="0" xfId="0">
      <alignment horizontal="center" vertical="bottom"/>
    </xf>
    <xf numFmtId="0" fontId="12" fillId="0" borderId="0" xfId="0">
      <alignment vertical="center"/>
    </xf>
    <xf numFmtId="0" fontId="13" fillId="0" borderId="0" xfId="0">
      <alignment vertical="center"/>
    </xf>
    <xf numFmtId="0" fontId="13" fillId="23" borderId="0" xfId="0">
      <alignment horizontal="center" vertical="center"/>
    </xf>
    <xf numFmtId="0" fontId="13" fillId="23" borderId="0" xfId="0">
      <alignment horizontal="center" vertical="center" wrapText="1"/>
    </xf>
    <xf numFmtId="0" fontId="4" fillId="0" borderId="7" xfId="0">
      <alignment horizontal="center" vertical="center"/>
    </xf>
    <xf numFmtId="264" fontId="4" fillId="0" borderId="7" xfId="0">
      <alignment horizontal="center" vertical="center"/>
    </xf>
    <xf numFmtId="0" fontId="4" fillId="0" borderId="7" xfId="0">
      <alignment vertical="center"/>
    </xf>
    <xf numFmtId="2" fontId="4" fillId="0" borderId="7" xfId="0">
      <alignment horizontal="center" vertical="center"/>
    </xf>
    <xf numFmtId="4" fontId="4" fillId="0" borderId="7" xfId="0">
      <alignment horizontal="center" vertical="center"/>
    </xf>
    <xf numFmtId="9" fontId="4" fillId="0" borderId="7" xfId="0">
      <alignment horizontal="center" vertical="center"/>
    </xf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theme" Target="theme/theme1.xml"/><Relationship Id="rId8" Type="http://schemas.openxmlformats.org/officeDocument/2006/relationships/sharedStrings" Target="sharedStrings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"/>
      </a:majorFont>
      <a:minorFont>
        <a:latin typeface="Calibri"/>
        <a:ea typeface="Calibr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9EE330B-F553-47B4-959D-7A123B25008C}" mc:Ignorable="x14ac xr xr2 xr3">
  <dimension ref="A1:Z1000"/>
  <sheetViews>
    <sheetView topLeftCell="A9" zoomScale="40" workbookViewId="0">
      <selection activeCell="A1" sqref="A1"/>
    </sheetView>
  </sheetViews>
  <sheetFormatPr defaultRowHeight="15" defaultColWidth="14.421875" customHeight="1"/>
  <cols>
    <col min="1" max="1" width="7.140625" customWidth="1"/>
    <col min="2" max="2" width="33.00390625" customWidth="1"/>
    <col min="3" max="3" width="32.8515625" customWidth="1"/>
    <col min="4" max="4" width="64.57421875" customWidth="1"/>
    <col min="5" max="24" width="8.7109375" customWidth="1"/>
  </cols>
  <sheetData>
    <row r="1" ht="1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" customHeight="1">
      <c r="A4" s="1"/>
      <c r="B4" s="2" t="s">
        <v>0</v>
      </c>
      <c r="C4" s="3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" customHeight="1">
      <c r="A5" s="1"/>
      <c r="B5" s="5"/>
      <c r="C5" s="1"/>
      <c r="D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" customHeight="1">
      <c r="A6" s="1"/>
      <c r="B6" s="7" t="s">
        <v>1</v>
      </c>
      <c r="C6" s="1"/>
      <c r="D6" s="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" customHeight="1">
      <c r="B7" s="5"/>
      <c r="C7" s="8" t="s">
        <v>2</v>
      </c>
      <c r="D7" s="9" t="s">
        <v>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" customHeight="1">
      <c r="B8" s="5"/>
      <c r="C8" s="8" t="s">
        <v>4</v>
      </c>
      <c r="D8" s="10" t="s">
        <v>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" customHeight="1">
      <c r="B9" s="5"/>
      <c r="C9" s="8" t="s">
        <v>6</v>
      </c>
      <c r="D9" s="9" t="s">
        <v>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" customHeight="1">
      <c r="B10" s="5"/>
      <c r="C10" s="8" t="s">
        <v>8</v>
      </c>
      <c r="D10" s="9" t="s">
        <v>9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" customHeight="1">
      <c r="B11" s="7" t="s">
        <v>10</v>
      </c>
      <c r="C11" s="1"/>
      <c r="D11" s="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" customHeight="1">
      <c r="B12" s="5"/>
      <c r="C12" s="8" t="s">
        <v>11</v>
      </c>
      <c r="D12" s="11" t="s">
        <v>12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" customHeight="1">
      <c r="B13" s="5"/>
      <c r="C13" s="1"/>
      <c r="D13" s="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" customHeight="1">
      <c r="B14" s="5"/>
      <c r="C14" s="1"/>
      <c r="D14" s="6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" customHeight="1">
      <c r="B15" s="7" t="s">
        <v>13</v>
      </c>
      <c r="C15" s="1"/>
      <c r="D15" s="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" customHeight="1">
      <c r="B16" s="5"/>
      <c r="C16" s="8" t="s">
        <v>14</v>
      </c>
      <c r="D16" s="9" t="s">
        <v>15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" customHeight="1">
      <c r="B17" s="5"/>
      <c r="C17" s="12" t="s">
        <v>16</v>
      </c>
      <c r="D17" s="13" t="s">
        <v>17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" customHeight="1">
      <c r="B18" s="5"/>
      <c r="C18" s="8" t="s">
        <v>18</v>
      </c>
      <c r="D18" s="9" t="s">
        <v>19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" customHeight="1">
      <c r="B19" s="5"/>
      <c r="C19" s="8" t="s">
        <v>20</v>
      </c>
      <c r="D19" s="9" t="s">
        <v>21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B20" s="7" t="s">
        <v>22</v>
      </c>
      <c r="C20" s="1"/>
      <c r="D20" s="6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B21" s="5"/>
      <c r="C21" s="14" t="s">
        <v>23</v>
      </c>
      <c r="D21" s="9" t="s">
        <v>24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B22" s="5"/>
      <c r="C22" s="14" t="s">
        <v>25</v>
      </c>
      <c r="D22" s="9" t="s">
        <v>26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B23" s="5"/>
      <c r="C23" s="14" t="s">
        <v>27</v>
      </c>
      <c r="D23" s="9" t="s">
        <v>28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B24" s="7"/>
      <c r="C24" s="1"/>
      <c r="D24" s="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B25" s="7" t="s">
        <v>29</v>
      </c>
      <c r="C25" s="1"/>
      <c r="D25" s="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B26" s="5"/>
      <c r="C26" s="14" t="s">
        <v>30</v>
      </c>
      <c r="D26" s="9" t="s">
        <v>31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B27" s="5"/>
      <c r="C27" s="14" t="s">
        <v>32</v>
      </c>
      <c r="D27" s="9" t="s">
        <v>33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B28" s="5"/>
      <c r="C28" s="14" t="s">
        <v>34</v>
      </c>
      <c r="D28" s="9" t="s">
        <v>35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B29" s="5"/>
      <c r="C29" s="14" t="s">
        <v>36</v>
      </c>
      <c r="D29" s="9" t="s">
        <v>37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B30" s="7"/>
      <c r="C30" s="1"/>
      <c r="D30" s="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B31" s="7" t="s">
        <v>38</v>
      </c>
      <c r="C31" s="1"/>
      <c r="D31" s="6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B32" s="5"/>
      <c r="C32" s="8" t="s">
        <v>39</v>
      </c>
      <c r="D32" s="9" t="s">
        <v>40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B33" s="5"/>
      <c r="C33" s="8" t="s">
        <v>41</v>
      </c>
      <c r="D33" s="9" t="s">
        <v>42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B34" s="7"/>
      <c r="C34" s="1"/>
      <c r="D34" s="6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B35" s="7" t="s">
        <v>43</v>
      </c>
      <c r="C35" s="1"/>
      <c r="D35" s="6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B36" s="5"/>
      <c r="C36" s="8" t="s">
        <v>44</v>
      </c>
      <c r="D36" s="9" t="s">
        <v>45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8.25" customHeight="1">
      <c r="B37" s="5"/>
      <c r="C37" s="12" t="s">
        <v>46</v>
      </c>
      <c r="D37" s="13" t="s">
        <v>47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B38" s="5"/>
      <c r="C38" s="15" t="s">
        <v>48</v>
      </c>
      <c r="D38" s="9" t="s">
        <v>49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B39" s="5"/>
      <c r="C39" s="15" t="s">
        <v>50</v>
      </c>
      <c r="D39" s="9" t="s">
        <v>51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39" customHeight="1">
      <c r="B40" s="5"/>
      <c r="C40" s="8" t="s">
        <v>52</v>
      </c>
      <c r="D40" s="9" t="s">
        <v>53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9" customHeight="1">
      <c r="B41" s="16" t="s">
        <v>50</v>
      </c>
      <c r="D41" s="6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39" customHeight="1">
      <c r="B42" s="5"/>
      <c r="C42" s="17" t="s">
        <v>54</v>
      </c>
      <c r="D42" s="18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39" customHeight="1">
      <c r="B43" s="7" t="s">
        <v>55</v>
      </c>
      <c r="C43" s="1"/>
      <c r="D43" s="6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B44" s="7" t="s">
        <v>56</v>
      </c>
      <c r="C44" s="1"/>
      <c r="D44" s="6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B45" s="19" t="s">
        <v>57</v>
      </c>
      <c r="D45" s="20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B46" s="7" t="s">
        <v>58</v>
      </c>
      <c r="C46" s="1"/>
      <c r="D46" s="6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B47" s="5" t="s">
        <v>59</v>
      </c>
      <c r="D47" s="6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B48" s="5" t="s">
        <v>60</v>
      </c>
      <c r="D48" s="6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B49" s="5" t="s">
        <v>61</v>
      </c>
      <c r="D49" s="6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B50" s="5" t="s">
        <v>62</v>
      </c>
      <c r="D50" s="6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B51" s="7" t="s">
        <v>63</v>
      </c>
      <c r="D51" s="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B52" s="5" t="s">
        <v>64</v>
      </c>
      <c r="D52" s="6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B53" s="5"/>
      <c r="C53" s="1"/>
      <c r="D53" s="6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" customHeight="1">
      <c r="B54" s="7" t="s">
        <v>65</v>
      </c>
      <c r="C54" s="1"/>
      <c r="D54" s="6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B55" s="19" t="s">
        <v>66</v>
      </c>
      <c r="D55" s="20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B56" s="21"/>
      <c r="D56" s="20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B57" s="21"/>
      <c r="D57" s="20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B58" s="5"/>
      <c r="C58" s="1"/>
      <c r="D58" s="6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B59" s="22" t="s">
        <v>67</v>
      </c>
      <c r="D59" s="23" t="s">
        <v>68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B60" s="24" t="s">
        <v>69</v>
      </c>
      <c r="D60" s="25" t="s">
        <v>70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B61" s="26"/>
      <c r="D61" s="25" t="s">
        <v>71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B62" s="26"/>
      <c r="D62" s="25" t="s">
        <v>72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B63" s="27"/>
      <c r="D63" s="28" t="s">
        <v>73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B64" s="29"/>
      <c r="C64" s="30"/>
      <c r="D64" s="3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B4:D4"/>
    <mergeCell ref="B41:C41"/>
    <mergeCell ref="C42:D42"/>
    <mergeCell ref="B45:D45"/>
    <mergeCell ref="B55:D57"/>
    <mergeCell ref="B59:C59"/>
    <mergeCell ref="B60:C60"/>
  </mergeCells>
  <printOptions/>
  <pageMargins left="0.75" right="0.75" top="1" bottom="1" header="0" footer="0"/>
  <pageSetup paperSize="1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1A48593-08B9-4974-838E-4B1131E480F8}" mc:Ignorable="x14ac xr xr2 xr3">
  <dimension ref="A1:Z1000"/>
  <sheetViews>
    <sheetView topLeftCell="A1" workbookViewId="0" tabSelected="1">
      <selection activeCell="A1" sqref="A1"/>
    </sheetView>
  </sheetViews>
  <sheetFormatPr defaultRowHeight="15" defaultColWidth="14.421875" customHeight="1"/>
  <cols>
    <col min="1" max="1" width="5.140625" customWidth="1"/>
    <col min="2" max="2" width="36.140625" customWidth="1"/>
    <col min="3" max="3" width="14.57421875" customWidth="1"/>
    <col min="4" max="4" width="12.8515625" customWidth="1"/>
    <col min="5" max="5" width="33.7109375" customWidth="1"/>
    <col min="6" max="25" width="8.7109375" customWidth="1"/>
  </cols>
  <sheetData>
    <row r="1" ht="15.75" customHeight="1">
      <c r="A1" s="32"/>
      <c r="B1" s="1"/>
      <c r="C1" s="1"/>
      <c r="D1" s="1"/>
      <c r="E1" s="1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ht="15.75" customHeight="1">
      <c r="A2" s="32"/>
      <c r="B2" s="33"/>
      <c r="C2" s="34"/>
      <c r="D2" s="34"/>
      <c r="E2" s="35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15.75" customHeight="1">
      <c r="A3" s="32"/>
      <c r="B3" s="36" t="s">
        <v>74</v>
      </c>
      <c r="C3" s="37"/>
      <c r="D3" s="37"/>
      <c r="E3" s="38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15.75" customHeight="1">
      <c r="A4" s="39"/>
      <c r="B4" s="40"/>
      <c r="C4" s="41"/>
      <c r="D4" s="41"/>
      <c r="E4" s="4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5.75" customHeight="1">
      <c r="A5" s="32"/>
      <c r="B5" s="40" t="s">
        <v>75</v>
      </c>
      <c r="C5" s="41"/>
      <c r="E5" s="43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15.75" customHeight="1">
      <c r="A6" s="32"/>
      <c r="B6" s="40" t="s">
        <v>76</v>
      </c>
      <c r="C6" s="41"/>
      <c r="E6" s="43"/>
      <c r="F6" s="32"/>
      <c r="G6" s="32"/>
      <c r="H6" s="44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15.75" customHeight="1">
      <c r="A7" s="32"/>
      <c r="B7" s="40" t="s">
        <v>77</v>
      </c>
      <c r="C7" s="41"/>
      <c r="E7" s="43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15.75" customHeight="1">
      <c r="A8" s="32"/>
      <c r="B8" s="40"/>
      <c r="C8" s="41"/>
      <c r="D8" s="41"/>
      <c r="E8" s="42"/>
      <c r="F8" s="32"/>
      <c r="G8" s="32"/>
      <c r="H8" s="32"/>
      <c r="I8" s="45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5.75" customHeight="1">
      <c r="A9" s="32"/>
      <c r="B9" s="46" t="s">
        <v>78</v>
      </c>
      <c r="C9" s="47" t="s">
        <v>79</v>
      </c>
      <c r="D9" s="47" t="s">
        <v>80</v>
      </c>
      <c r="E9" s="48" t="s">
        <v>81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15.75" customHeight="1">
      <c r="A10" s="49"/>
      <c r="B10" s="50" t="s">
        <v>82</v>
      </c>
      <c r="C10" s="51" t="s">
        <v>83</v>
      </c>
      <c r="D10" s="51">
        <v>5</v>
      </c>
      <c r="E10" s="52" t="s">
        <v>84</v>
      </c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15.75" customHeight="1">
      <c r="A11" s="32"/>
      <c r="B11" s="50" t="s">
        <v>85</v>
      </c>
      <c r="C11" s="51" t="s">
        <v>83</v>
      </c>
      <c r="D11" s="51">
        <v>5</v>
      </c>
      <c r="E11" s="52" t="s">
        <v>86</v>
      </c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15.75" customHeight="1">
      <c r="A12" s="32"/>
      <c r="B12" s="50" t="s">
        <v>87</v>
      </c>
      <c r="C12" s="51" t="s">
        <v>83</v>
      </c>
      <c r="D12" s="51">
        <v>4</v>
      </c>
      <c r="E12" s="52" t="s">
        <v>88</v>
      </c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15.75" customHeight="1">
      <c r="A13" s="32"/>
      <c r="B13" s="50" t="s">
        <v>89</v>
      </c>
      <c r="C13" s="51" t="s">
        <v>83</v>
      </c>
      <c r="D13" s="51">
        <v>5</v>
      </c>
      <c r="E13" s="52" t="s">
        <v>90</v>
      </c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5.75" customHeight="1">
      <c r="A14" s="32"/>
      <c r="B14" s="50" t="s">
        <v>91</v>
      </c>
      <c r="C14" s="51" t="s">
        <v>83</v>
      </c>
      <c r="D14" s="51">
        <v>5</v>
      </c>
      <c r="E14" s="52" t="s">
        <v>92</v>
      </c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5.75" customHeight="1">
      <c r="A15" s="32"/>
      <c r="B15" s="50" t="s">
        <v>93</v>
      </c>
      <c r="C15" s="51" t="s">
        <v>94</v>
      </c>
      <c r="D15" s="51">
        <v>3</v>
      </c>
      <c r="E15" s="52" t="s">
        <v>95</v>
      </c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5.75" customHeight="1">
      <c r="A16" s="32"/>
      <c r="B16" s="50" t="s">
        <v>96</v>
      </c>
      <c r="C16" s="51" t="s">
        <v>83</v>
      </c>
      <c r="D16" s="51">
        <v>4</v>
      </c>
      <c r="E16" s="52" t="s">
        <v>97</v>
      </c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15.75" customHeight="1">
      <c r="A17" s="32"/>
      <c r="B17" s="50" t="s">
        <v>98</v>
      </c>
      <c r="C17" s="53" t="s">
        <v>99</v>
      </c>
      <c r="D17" s="53">
        <v>5</v>
      </c>
      <c r="E17" s="54" t="s">
        <v>100</v>
      </c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15.75" customHeight="1">
      <c r="A18" s="32"/>
      <c r="B18" s="55"/>
      <c r="C18" s="51"/>
      <c r="D18" s="51"/>
      <c r="E18" s="5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15.75" customHeight="1">
      <c r="A19" s="32"/>
      <c r="B19" s="56" t="s">
        <v>101</v>
      </c>
      <c r="C19" s="57">
        <f t="shared" si="0" ref="C19:C437">D19/40</f>
        <v>0.9</v>
      </c>
      <c r="D19" s="58">
        <f t="shared" si="1" ref="D19:D349">SUM(D10:D17)</f>
        <v>36</v>
      </c>
      <c r="E19" s="5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15.75" customHeight="1">
      <c r="A20" s="59"/>
      <c r="B20" s="40" t="s">
        <v>102</v>
      </c>
      <c r="E20" s="43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15.75" customHeight="1">
      <c r="A21" s="59"/>
      <c r="B21" s="60"/>
      <c r="C21" s="61"/>
      <c r="D21" s="61"/>
      <c r="E21" s="6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15.75" customHeight="1">
      <c r="A22" s="32"/>
      <c r="B22" s="32"/>
      <c r="C22" s="41"/>
      <c r="D22" s="41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15.75" customHeight="1">
      <c r="A23" s="32"/>
      <c r="B23" s="32"/>
      <c r="C23" s="41"/>
      <c r="D23" s="41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15.75" customHeight="1">
      <c r="A24" s="32"/>
      <c r="B24" s="63"/>
      <c r="C24" s="64"/>
      <c r="D24" s="64"/>
      <c r="E24" s="65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15.75" customHeight="1">
      <c r="A25" s="32"/>
      <c r="B25" s="66" t="s">
        <v>103</v>
      </c>
      <c r="C25" s="37"/>
      <c r="D25" s="37"/>
      <c r="E25" s="38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15.75" customHeight="1">
      <c r="A26" s="32"/>
      <c r="B26" s="40"/>
      <c r="C26" s="41"/>
      <c r="D26" s="41"/>
      <c r="E26" s="4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15.75" customHeight="1">
      <c r="A27" s="39"/>
      <c r="B27" s="40" t="s">
        <v>75</v>
      </c>
      <c r="C27" s="41"/>
      <c r="E27" s="43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5.75" customHeight="1">
      <c r="A28" s="32"/>
      <c r="B28" s="40" t="s">
        <v>104</v>
      </c>
      <c r="C28" s="41"/>
      <c r="E28" s="43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15.75" customHeight="1">
      <c r="A29" s="32"/>
      <c r="B29" s="40" t="s">
        <v>105</v>
      </c>
      <c r="C29" s="41"/>
      <c r="E29" s="43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15.75" customHeight="1">
      <c r="A30" s="32"/>
      <c r="B30" s="40"/>
      <c r="C30" s="41"/>
      <c r="D30" s="41"/>
      <c r="E30" s="4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15.75" customHeight="1">
      <c r="A31" s="32"/>
      <c r="B31" s="67" t="s">
        <v>78</v>
      </c>
      <c r="C31" s="68" t="s">
        <v>79</v>
      </c>
      <c r="D31" s="68" t="s">
        <v>80</v>
      </c>
      <c r="E31" s="69" t="s">
        <v>81</v>
      </c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15.75" customHeight="1">
      <c r="A32" s="32"/>
      <c r="B32" s="50" t="s">
        <v>82</v>
      </c>
      <c r="C32" s="51" t="s">
        <v>83</v>
      </c>
      <c r="D32" s="51">
        <v>5</v>
      </c>
      <c r="E32" s="52" t="s">
        <v>106</v>
      </c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15.75" customHeight="1">
      <c r="A33" s="49"/>
      <c r="B33" s="50" t="s">
        <v>85</v>
      </c>
      <c r="C33" s="51" t="s">
        <v>83</v>
      </c>
      <c r="D33" s="51">
        <v>5</v>
      </c>
      <c r="E33" s="52" t="s">
        <v>107</v>
      </c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5.75" customHeight="1">
      <c r="A34" s="32"/>
      <c r="B34" s="50" t="s">
        <v>87</v>
      </c>
      <c r="C34" s="51" t="s">
        <v>83</v>
      </c>
      <c r="D34" s="51">
        <v>5</v>
      </c>
      <c r="E34" s="52" t="s">
        <v>108</v>
      </c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15.75" customHeight="1">
      <c r="A35" s="32"/>
      <c r="B35" s="50" t="s">
        <v>89</v>
      </c>
      <c r="C35" s="51" t="s">
        <v>83</v>
      </c>
      <c r="D35" s="51">
        <v>4</v>
      </c>
      <c r="E35" s="52" t="s">
        <v>109</v>
      </c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15.75" customHeight="1">
      <c r="A36" s="32"/>
      <c r="B36" s="50" t="s">
        <v>91</v>
      </c>
      <c r="C36" s="51" t="s">
        <v>83</v>
      </c>
      <c r="D36" s="51">
        <v>4</v>
      </c>
      <c r="E36" s="52" t="s">
        <v>110</v>
      </c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15.75" customHeight="1">
      <c r="A37" s="32"/>
      <c r="B37" s="50" t="s">
        <v>93</v>
      </c>
      <c r="C37" s="51" t="s">
        <v>83</v>
      </c>
      <c r="D37" s="51">
        <v>5</v>
      </c>
      <c r="E37" s="52" t="s">
        <v>111</v>
      </c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15.75" customHeight="1">
      <c r="A38" s="32"/>
      <c r="B38" s="50" t="s">
        <v>96</v>
      </c>
      <c r="C38" s="51" t="s">
        <v>83</v>
      </c>
      <c r="D38" s="51">
        <v>5</v>
      </c>
      <c r="E38" s="52" t="s">
        <v>112</v>
      </c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15.75" customHeight="1">
      <c r="A39" s="32"/>
      <c r="B39" s="50" t="s">
        <v>98</v>
      </c>
      <c r="C39" s="53" t="s">
        <v>83</v>
      </c>
      <c r="D39" s="53">
        <v>5</v>
      </c>
      <c r="E39" s="54" t="s">
        <v>113</v>
      </c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5.75" customHeight="1">
      <c r="A40" s="32"/>
      <c r="B40" s="55"/>
      <c r="C40" s="51"/>
      <c r="D40" s="51"/>
      <c r="E40" s="5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15.75" customHeight="1">
      <c r="A41" s="32"/>
      <c r="B41" s="56" t="s">
        <v>101</v>
      </c>
      <c r="C41" s="70">
        <f t="shared" si="0"/>
        <v>0.95</v>
      </c>
      <c r="D41" s="71">
        <f>D32+D33+D34+D35+D36+D37+D38+D39</f>
        <v>38</v>
      </c>
      <c r="E41" s="5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15.75" customHeight="1">
      <c r="A42" s="32"/>
      <c r="B42" s="40" t="s">
        <v>114</v>
      </c>
      <c r="C42" s="72" t="s">
        <v>115</v>
      </c>
      <c r="E42" s="43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15.75" customHeight="1">
      <c r="A43" s="59"/>
      <c r="B43" s="60"/>
      <c r="C43" s="61"/>
      <c r="D43" s="61"/>
      <c r="E43" s="6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15.75" customHeight="1">
      <c r="A44" s="59"/>
      <c r="B44" s="32"/>
      <c r="C44" s="41"/>
      <c r="D44" s="41"/>
      <c r="E44" s="32"/>
      <c r="F44" s="7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15.75" customHeight="1">
      <c r="A45" s="32"/>
      <c r="B45" s="32"/>
      <c r="C45" s="41"/>
      <c r="D45" s="41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15.75" customHeight="1">
      <c r="A46" s="32"/>
      <c r="B46" s="63"/>
      <c r="C46" s="64"/>
      <c r="D46" s="64"/>
      <c r="E46" s="65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15.75" customHeight="1">
      <c r="A47" s="32"/>
      <c r="B47" s="73" t="s">
        <v>116</v>
      </c>
      <c r="C47" s="37"/>
      <c r="D47" s="37"/>
      <c r="E47" s="38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5.75" customHeight="1">
      <c r="A48" s="32"/>
      <c r="B48" s="40"/>
      <c r="C48" s="41"/>
      <c r="D48" s="41"/>
      <c r="E48" s="4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15.75" customHeight="1">
      <c r="A49" s="32"/>
      <c r="B49" s="40" t="s">
        <v>117</v>
      </c>
      <c r="C49" s="41"/>
      <c r="E49" s="43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15.75" customHeight="1">
      <c r="A50" s="32"/>
      <c r="B50" s="40" t="s">
        <v>118</v>
      </c>
      <c r="C50" s="41"/>
      <c r="E50" s="43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15.75" customHeight="1">
      <c r="A51" s="32"/>
      <c r="B51" s="40" t="s">
        <v>105</v>
      </c>
      <c r="C51" s="41"/>
      <c r="E51" s="43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15.75" customHeight="1">
      <c r="A52" s="32"/>
      <c r="B52" s="40"/>
      <c r="C52" s="41"/>
      <c r="D52" s="41"/>
      <c r="E52" s="4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15.75" customHeight="1">
      <c r="A53" s="32"/>
      <c r="B53" s="74" t="s">
        <v>78</v>
      </c>
      <c r="C53" s="75" t="s">
        <v>79</v>
      </c>
      <c r="D53" s="75" t="s">
        <v>80</v>
      </c>
      <c r="E53" s="76" t="s">
        <v>81</v>
      </c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15.75" customHeight="1">
      <c r="A54" s="32"/>
      <c r="B54" s="50" t="s">
        <v>82</v>
      </c>
      <c r="C54" s="51" t="s">
        <v>83</v>
      </c>
      <c r="D54" s="51">
        <v>4</v>
      </c>
      <c r="E54" s="52" t="s">
        <v>119</v>
      </c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15.75" customHeight="1">
      <c r="A55" s="32"/>
      <c r="B55" s="50" t="s">
        <v>85</v>
      </c>
      <c r="C55" s="51" t="s">
        <v>83</v>
      </c>
      <c r="D55" s="51">
        <v>5</v>
      </c>
      <c r="E55" s="52" t="s">
        <v>120</v>
      </c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15.75" customHeight="1">
      <c r="A56" s="32"/>
      <c r="B56" s="50" t="s">
        <v>87</v>
      </c>
      <c r="C56" s="51" t="s">
        <v>83</v>
      </c>
      <c r="D56" s="51">
        <v>4</v>
      </c>
      <c r="E56" s="52" t="s">
        <v>121</v>
      </c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15.75" customHeight="1">
      <c r="A57" s="32"/>
      <c r="B57" s="50" t="s">
        <v>89</v>
      </c>
      <c r="C57" s="51" t="s">
        <v>83</v>
      </c>
      <c r="D57" s="51">
        <v>5</v>
      </c>
      <c r="E57" s="52" t="s">
        <v>122</v>
      </c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15.75" customHeight="1">
      <c r="A58" s="32"/>
      <c r="B58" s="50" t="s">
        <v>91</v>
      </c>
      <c r="C58" s="51" t="s">
        <v>83</v>
      </c>
      <c r="D58" s="51">
        <v>4</v>
      </c>
      <c r="E58" s="52" t="s">
        <v>123</v>
      </c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15.75" customHeight="1">
      <c r="A59" s="32"/>
      <c r="B59" s="50" t="s">
        <v>93</v>
      </c>
      <c r="C59" s="51" t="s">
        <v>94</v>
      </c>
      <c r="D59" s="51">
        <v>2</v>
      </c>
      <c r="E59" s="52" t="s">
        <v>124</v>
      </c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15.75" customHeight="1">
      <c r="A60" s="32"/>
      <c r="B60" s="50" t="s">
        <v>96</v>
      </c>
      <c r="C60" s="51" t="s">
        <v>83</v>
      </c>
      <c r="D60" s="51">
        <v>4</v>
      </c>
      <c r="E60" s="52" t="s">
        <v>125</v>
      </c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15.75" customHeight="1">
      <c r="A61" s="32"/>
      <c r="B61" s="50" t="s">
        <v>98</v>
      </c>
      <c r="C61" s="53" t="s">
        <v>83</v>
      </c>
      <c r="D61" s="53">
        <v>4</v>
      </c>
      <c r="E61" s="54" t="s">
        <v>126</v>
      </c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15.75" customHeight="1">
      <c r="A62" s="32"/>
      <c r="B62" s="55"/>
      <c r="C62" s="51"/>
      <c r="D62" s="77"/>
      <c r="E62" s="5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15.75" customHeight="1">
      <c r="A63" s="32"/>
      <c r="B63" s="56" t="s">
        <v>127</v>
      </c>
      <c r="C63" s="70">
        <f t="shared" si="0"/>
        <v>0.8</v>
      </c>
      <c r="D63" s="78">
        <f t="shared" si="1"/>
        <v>32</v>
      </c>
      <c r="E63" s="79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15.75" customHeight="1">
      <c r="A64" s="32"/>
      <c r="B64" s="40" t="s">
        <v>114</v>
      </c>
      <c r="C64" s="72" t="s">
        <v>128</v>
      </c>
      <c r="E64" s="43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15.75" customHeight="1">
      <c r="A65" s="32"/>
      <c r="B65" s="60"/>
      <c r="C65" s="61"/>
      <c r="D65" s="61"/>
      <c r="E65" s="6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15.75" customHeight="1">
      <c r="A66" s="32"/>
      <c r="B66" s="32"/>
      <c r="C66" s="41"/>
      <c r="D66" s="41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15.75" customHeight="1">
      <c r="A67" s="32"/>
      <c r="B67" s="32"/>
      <c r="C67" s="41"/>
      <c r="D67" s="41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15.75" customHeight="1">
      <c r="A68" s="32"/>
      <c r="B68" s="63"/>
      <c r="C68" s="64"/>
      <c r="D68" s="64"/>
      <c r="E68" s="65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15.75" customHeight="1">
      <c r="A69" s="32"/>
      <c r="B69" s="80" t="s">
        <v>129</v>
      </c>
      <c r="C69" s="37"/>
      <c r="D69" s="37"/>
      <c r="E69" s="38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15.75" customHeight="1">
      <c r="A70" s="32"/>
      <c r="B70" s="40"/>
      <c r="C70" s="41"/>
      <c r="D70" s="41"/>
      <c r="E70" s="4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15.75" customHeight="1">
      <c r="A71" s="32"/>
      <c r="B71" s="40" t="s">
        <v>130</v>
      </c>
      <c r="C71" s="41"/>
      <c r="E71" s="43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15.75" customHeight="1">
      <c r="A72" s="32"/>
      <c r="B72" s="40" t="s">
        <v>131</v>
      </c>
      <c r="C72" s="41"/>
      <c r="E72" s="43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15.75" customHeight="1">
      <c r="A73" s="32"/>
      <c r="B73" s="40" t="s">
        <v>132</v>
      </c>
      <c r="C73" s="41"/>
      <c r="E73" s="43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15.75" customHeight="1">
      <c r="A74" s="32"/>
      <c r="B74" s="40"/>
      <c r="C74" s="41"/>
      <c r="D74" s="41"/>
      <c r="E74" s="4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15.75" customHeight="1">
      <c r="A75" s="32"/>
      <c r="B75" s="81" t="s">
        <v>78</v>
      </c>
      <c r="C75" s="82" t="s">
        <v>79</v>
      </c>
      <c r="D75" s="82" t="s">
        <v>80</v>
      </c>
      <c r="E75" s="83" t="s">
        <v>81</v>
      </c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15.75" customHeight="1">
      <c r="A76" s="32"/>
      <c r="B76" s="50" t="s">
        <v>82</v>
      </c>
      <c r="C76" s="51" t="s">
        <v>83</v>
      </c>
      <c r="D76" s="51">
        <v>5</v>
      </c>
      <c r="E76" s="52" t="s">
        <v>133</v>
      </c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15.75" customHeight="1">
      <c r="A77" s="32"/>
      <c r="B77" s="50" t="s">
        <v>85</v>
      </c>
      <c r="C77" s="51" t="s">
        <v>83</v>
      </c>
      <c r="D77" s="51">
        <v>5</v>
      </c>
      <c r="E77" s="52" t="s">
        <v>134</v>
      </c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15.75" customHeight="1">
      <c r="A78" s="32"/>
      <c r="B78" s="50" t="s">
        <v>87</v>
      </c>
      <c r="C78" s="51" t="s">
        <v>83</v>
      </c>
      <c r="D78" s="51">
        <v>5</v>
      </c>
      <c r="E78" s="52" t="s">
        <v>135</v>
      </c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15.75" customHeight="1">
      <c r="A79" s="32"/>
      <c r="B79" s="50" t="s">
        <v>89</v>
      </c>
      <c r="C79" s="51" t="s">
        <v>83</v>
      </c>
      <c r="D79" s="51">
        <v>5</v>
      </c>
      <c r="E79" s="52" t="s">
        <v>136</v>
      </c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15.75" customHeight="1">
      <c r="A80" s="32"/>
      <c r="B80" s="50" t="s">
        <v>91</v>
      </c>
      <c r="C80" s="51" t="s">
        <v>83</v>
      </c>
      <c r="D80" s="51">
        <v>5</v>
      </c>
      <c r="E80" s="52" t="s">
        <v>137</v>
      </c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15.75" customHeight="1">
      <c r="A81" s="32"/>
      <c r="B81" s="50" t="s">
        <v>93</v>
      </c>
      <c r="C81" s="51" t="s">
        <v>83</v>
      </c>
      <c r="D81" s="51">
        <v>5</v>
      </c>
      <c r="E81" s="52" t="s">
        <v>138</v>
      </c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15.75" customHeight="1">
      <c r="A82" s="32"/>
      <c r="B82" s="50" t="s">
        <v>96</v>
      </c>
      <c r="C82" s="51" t="s">
        <v>83</v>
      </c>
      <c r="D82" s="51">
        <v>5</v>
      </c>
      <c r="E82" s="52" t="s">
        <v>139</v>
      </c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15.75" customHeight="1">
      <c r="A83" s="32"/>
      <c r="B83" s="50" t="s">
        <v>98</v>
      </c>
      <c r="C83" s="53" t="s">
        <v>83</v>
      </c>
      <c r="D83" s="53">
        <v>5</v>
      </c>
      <c r="E83" s="54" t="s">
        <v>140</v>
      </c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15.75" customHeight="1">
      <c r="A84" s="32"/>
      <c r="B84" s="55"/>
      <c r="C84" s="51"/>
      <c r="D84" s="51"/>
      <c r="E84" s="5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15.75" customHeight="1">
      <c r="A85" s="32"/>
      <c r="B85" s="50" t="s">
        <v>127</v>
      </c>
      <c r="C85" s="70">
        <f t="shared" si="0"/>
        <v>1</v>
      </c>
      <c r="D85" s="84">
        <f t="shared" si="1"/>
        <v>40</v>
      </c>
      <c r="E85" s="5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15.75" customHeight="1">
      <c r="A86" s="32"/>
      <c r="B86" s="40" t="s">
        <v>114</v>
      </c>
      <c r="C86" s="72" t="s">
        <v>141</v>
      </c>
      <c r="E86" s="43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15.75" customHeight="1">
      <c r="A87" s="32"/>
      <c r="B87" s="60"/>
      <c r="C87" s="61"/>
      <c r="D87" s="61"/>
      <c r="E87" s="6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15.75" customHeight="1">
      <c r="A88" s="32"/>
      <c r="B88" s="32"/>
      <c r="C88" s="41"/>
      <c r="D88" s="41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15.75" customHeight="1">
      <c r="A89" s="32"/>
      <c r="B89" s="32"/>
      <c r="C89" s="41"/>
      <c r="D89" s="41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15.75" customHeight="1">
      <c r="A90" s="32"/>
      <c r="B90" s="63"/>
      <c r="C90" s="64"/>
      <c r="D90" s="64"/>
      <c r="E90" s="65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15.75" customHeight="1">
      <c r="A91" s="32"/>
      <c r="B91" s="85" t="s">
        <v>142</v>
      </c>
      <c r="C91" s="37"/>
      <c r="D91" s="37"/>
      <c r="E91" s="38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15.75" customHeight="1">
      <c r="A92" s="32"/>
      <c r="B92" s="40"/>
      <c r="C92" s="41"/>
      <c r="D92" s="41"/>
      <c r="E92" s="4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15.75" customHeight="1">
      <c r="A93" s="32"/>
      <c r="B93" s="40" t="s">
        <v>130</v>
      </c>
      <c r="C93" s="41"/>
      <c r="E93" s="43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15.75" customHeight="1">
      <c r="A94" s="32"/>
      <c r="B94" s="40" t="s">
        <v>143</v>
      </c>
      <c r="C94" s="41"/>
      <c r="E94" s="43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15.75" customHeight="1">
      <c r="A95" s="32"/>
      <c r="B95" s="40" t="s">
        <v>105</v>
      </c>
      <c r="C95" s="41"/>
      <c r="E95" s="43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15.75" customHeight="1">
      <c r="A96" s="32"/>
      <c r="B96" s="40"/>
      <c r="C96" s="41"/>
      <c r="D96" s="41"/>
      <c r="E96" s="4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15.75" customHeight="1">
      <c r="A97" s="32"/>
      <c r="B97" s="86" t="s">
        <v>78</v>
      </c>
      <c r="C97" s="87" t="s">
        <v>79</v>
      </c>
      <c r="D97" s="87" t="s">
        <v>80</v>
      </c>
      <c r="E97" s="88" t="s">
        <v>81</v>
      </c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15.75" customHeight="1">
      <c r="A98" s="32"/>
      <c r="B98" s="50" t="s">
        <v>82</v>
      </c>
      <c r="C98" s="51" t="s">
        <v>83</v>
      </c>
      <c r="D98" s="51">
        <v>5</v>
      </c>
      <c r="E98" s="52" t="s">
        <v>144</v>
      </c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15.75" customHeight="1">
      <c r="A99" s="32"/>
      <c r="B99" s="50" t="s">
        <v>85</v>
      </c>
      <c r="C99" s="51" t="s">
        <v>83</v>
      </c>
      <c r="D99" s="51">
        <v>4</v>
      </c>
      <c r="E99" s="52" t="s">
        <v>145</v>
      </c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15.75" customHeight="1">
      <c r="A100" s="32"/>
      <c r="B100" s="50" t="s">
        <v>87</v>
      </c>
      <c r="C100" s="51" t="s">
        <v>83</v>
      </c>
      <c r="D100" s="51">
        <v>5</v>
      </c>
      <c r="E100" s="52" t="s">
        <v>146</v>
      </c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15.75" customHeight="1">
      <c r="A101" s="32"/>
      <c r="B101" s="50" t="s">
        <v>89</v>
      </c>
      <c r="C101" s="51" t="s">
        <v>83</v>
      </c>
      <c r="D101" s="51">
        <v>4</v>
      </c>
      <c r="E101" s="52" t="s">
        <v>147</v>
      </c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15.75" customHeight="1">
      <c r="A102" s="32"/>
      <c r="B102" s="50" t="s">
        <v>91</v>
      </c>
      <c r="C102" s="51" t="s">
        <v>83</v>
      </c>
      <c r="D102" s="51">
        <v>5</v>
      </c>
      <c r="E102" s="52" t="s">
        <v>92</v>
      </c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15.75" customHeight="1">
      <c r="A103" s="32"/>
      <c r="B103" s="50" t="s">
        <v>93</v>
      </c>
      <c r="C103" s="51" t="s">
        <v>83</v>
      </c>
      <c r="D103" s="51">
        <v>4</v>
      </c>
      <c r="E103" s="52" t="s">
        <v>148</v>
      </c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15.75" customHeight="1">
      <c r="A104" s="32"/>
      <c r="B104" s="50" t="s">
        <v>96</v>
      </c>
      <c r="C104" s="51" t="s">
        <v>83</v>
      </c>
      <c r="D104" s="51">
        <v>4</v>
      </c>
      <c r="E104" s="52" t="s">
        <v>149</v>
      </c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15.75" customHeight="1">
      <c r="A105" s="32"/>
      <c r="B105" s="50" t="s">
        <v>98</v>
      </c>
      <c r="C105" s="53" t="s">
        <v>83</v>
      </c>
      <c r="D105" s="53">
        <v>3</v>
      </c>
      <c r="E105" s="54" t="s">
        <v>150</v>
      </c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15.75" customHeight="1">
      <c r="A106" s="32"/>
      <c r="B106" s="55"/>
      <c r="C106" s="51"/>
      <c r="D106" s="51"/>
      <c r="E106" s="5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15.75" customHeight="1">
      <c r="A107" s="32"/>
      <c r="B107" s="50" t="s">
        <v>127</v>
      </c>
      <c r="C107" s="70">
        <f t="shared" si="0"/>
        <v>0.85</v>
      </c>
      <c r="D107" s="89">
        <f t="shared" si="1"/>
        <v>34</v>
      </c>
      <c r="E107" s="5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15.75" customHeight="1">
      <c r="A108" s="32"/>
      <c r="B108" s="40" t="s">
        <v>114</v>
      </c>
      <c r="C108" s="72" t="s">
        <v>151</v>
      </c>
      <c r="E108" s="43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15.75" customHeight="1">
      <c r="A109" s="32"/>
      <c r="B109" s="60"/>
      <c r="C109" s="61"/>
      <c r="D109" s="61"/>
      <c r="E109" s="6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15.75" customHeight="1">
      <c r="A110" s="32"/>
      <c r="B110" s="32"/>
      <c r="C110" s="41"/>
      <c r="D110" s="41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15.75" customHeight="1">
      <c r="A111" s="32"/>
      <c r="B111" s="32"/>
      <c r="C111" s="41"/>
      <c r="D111" s="41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15.75" customHeight="1">
      <c r="A112" s="32"/>
      <c r="B112" s="63"/>
      <c r="C112" s="64"/>
      <c r="D112" s="64"/>
      <c r="E112" s="65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15.75" customHeight="1">
      <c r="A113" s="32"/>
      <c r="B113" s="90" t="s">
        <v>152</v>
      </c>
      <c r="C113" s="37"/>
      <c r="D113" s="37"/>
      <c r="E113" s="38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15.75" customHeight="1">
      <c r="A114" s="32"/>
      <c r="B114" s="40"/>
      <c r="C114" s="41"/>
      <c r="D114" s="41"/>
      <c r="E114" s="4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15.75" customHeight="1">
      <c r="A115" s="32"/>
      <c r="B115" s="40" t="s">
        <v>130</v>
      </c>
      <c r="C115" s="41"/>
      <c r="E115" s="43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15.75" customHeight="1">
      <c r="A116" s="32"/>
      <c r="B116" s="40" t="s">
        <v>153</v>
      </c>
      <c r="C116" s="41"/>
      <c r="E116" s="43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15.75" customHeight="1">
      <c r="A117" s="32"/>
      <c r="B117" s="40" t="s">
        <v>105</v>
      </c>
      <c r="C117" s="41"/>
      <c r="E117" s="43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15.75" customHeight="1">
      <c r="A118" s="32"/>
      <c r="B118" s="40"/>
      <c r="C118" s="41"/>
      <c r="D118" s="41"/>
      <c r="E118" s="4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15.75" customHeight="1">
      <c r="A119" s="32"/>
      <c r="B119" s="91" t="s">
        <v>78</v>
      </c>
      <c r="C119" s="92" t="s">
        <v>79</v>
      </c>
      <c r="D119" s="92" t="s">
        <v>80</v>
      </c>
      <c r="E119" s="93" t="s">
        <v>81</v>
      </c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15.75" customHeight="1">
      <c r="A120" s="32"/>
      <c r="B120" s="50" t="s">
        <v>82</v>
      </c>
      <c r="C120" s="51" t="s">
        <v>83</v>
      </c>
      <c r="D120" s="51">
        <v>5</v>
      </c>
      <c r="E120" s="52" t="s">
        <v>154</v>
      </c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15.75" customHeight="1">
      <c r="A121" s="32"/>
      <c r="B121" s="50" t="s">
        <v>85</v>
      </c>
      <c r="C121" s="51" t="s">
        <v>83</v>
      </c>
      <c r="D121" s="51">
        <v>5</v>
      </c>
      <c r="E121" s="52" t="s">
        <v>155</v>
      </c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15.75" customHeight="1">
      <c r="A122" s="32"/>
      <c r="B122" s="50" t="s">
        <v>87</v>
      </c>
      <c r="C122" s="51" t="s">
        <v>83</v>
      </c>
      <c r="D122" s="51">
        <v>4</v>
      </c>
      <c r="E122" s="52" t="s">
        <v>156</v>
      </c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15.75" customHeight="1">
      <c r="A123" s="32"/>
      <c r="B123" s="50" t="s">
        <v>89</v>
      </c>
      <c r="C123" s="51" t="s">
        <v>83</v>
      </c>
      <c r="D123" s="51">
        <v>5</v>
      </c>
      <c r="E123" s="52" t="s">
        <v>157</v>
      </c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15.75" customHeight="1">
      <c r="A124" s="32"/>
      <c r="B124" s="50" t="s">
        <v>91</v>
      </c>
      <c r="C124" s="51" t="s">
        <v>83</v>
      </c>
      <c r="D124" s="51">
        <v>4</v>
      </c>
      <c r="E124" s="52" t="s">
        <v>158</v>
      </c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15.75" customHeight="1">
      <c r="A125" s="32"/>
      <c r="B125" s="50" t="s">
        <v>93</v>
      </c>
      <c r="C125" s="51" t="s">
        <v>94</v>
      </c>
      <c r="D125" s="51">
        <v>3</v>
      </c>
      <c r="E125" s="52" t="s">
        <v>159</v>
      </c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15.75" customHeight="1">
      <c r="A126" s="32"/>
      <c r="B126" s="50" t="s">
        <v>96</v>
      </c>
      <c r="C126" s="51" t="s">
        <v>83</v>
      </c>
      <c r="D126" s="51">
        <v>5</v>
      </c>
      <c r="E126" s="52" t="s">
        <v>160</v>
      </c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15.75" customHeight="1">
      <c r="A127" s="32"/>
      <c r="B127" s="50" t="s">
        <v>98</v>
      </c>
      <c r="C127" s="51" t="s">
        <v>83</v>
      </c>
      <c r="D127" s="53">
        <v>4</v>
      </c>
      <c r="E127" s="54" t="s">
        <v>161</v>
      </c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15.75" customHeight="1">
      <c r="A128" s="32"/>
      <c r="B128" s="55"/>
      <c r="C128" s="51"/>
      <c r="D128" s="51"/>
      <c r="E128" s="5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15.75" customHeight="1">
      <c r="A129" s="32"/>
      <c r="B129" s="50" t="s">
        <v>127</v>
      </c>
      <c r="C129" s="57">
        <f t="shared" si="0"/>
        <v>0.875</v>
      </c>
      <c r="D129" s="94">
        <f t="shared" si="1"/>
        <v>35</v>
      </c>
      <c r="E129" s="95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15.75" customHeight="1">
      <c r="A130" s="32"/>
      <c r="B130" s="40" t="s">
        <v>114</v>
      </c>
      <c r="C130" s="72" t="s">
        <v>162</v>
      </c>
      <c r="E130" s="43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15.75" customHeight="1">
      <c r="A131" s="32"/>
      <c r="B131" s="60"/>
      <c r="C131" s="61"/>
      <c r="D131" s="61"/>
      <c r="E131" s="6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15.75" customHeight="1">
      <c r="A132" s="32"/>
      <c r="B132" s="32"/>
      <c r="C132" s="41"/>
      <c r="D132" s="41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15.75" customHeight="1">
      <c r="A133" s="32"/>
      <c r="B133" s="32"/>
      <c r="C133" s="41"/>
      <c r="D133" s="41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15.75" customHeight="1">
      <c r="A134" s="32"/>
      <c r="B134" s="63"/>
      <c r="C134" s="64"/>
      <c r="D134" s="64"/>
      <c r="E134" s="65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15.75" customHeight="1">
      <c r="A135" s="32"/>
      <c r="B135" s="96" t="s">
        <v>163</v>
      </c>
      <c r="C135" s="37"/>
      <c r="D135" s="37"/>
      <c r="E135" s="38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15.75" customHeight="1">
      <c r="A136" s="32"/>
      <c r="B136" s="40"/>
      <c r="C136" s="41"/>
      <c r="D136" s="41"/>
      <c r="E136" s="4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15.75" customHeight="1">
      <c r="A137" s="32"/>
      <c r="B137" s="40" t="s">
        <v>130</v>
      </c>
      <c r="C137" s="41"/>
      <c r="E137" s="43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15.75" customHeight="1">
      <c r="A138" s="32"/>
      <c r="B138" s="40" t="s">
        <v>153</v>
      </c>
      <c r="C138" s="41"/>
      <c r="E138" s="43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15.75" customHeight="1">
      <c r="A139" s="32"/>
      <c r="B139" s="40" t="s">
        <v>105</v>
      </c>
      <c r="C139" s="41"/>
      <c r="E139" s="43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15.75" customHeight="1">
      <c r="A140" s="32"/>
      <c r="B140" s="40"/>
      <c r="C140" s="41"/>
      <c r="D140" s="41"/>
      <c r="E140" s="4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15.75" customHeight="1">
      <c r="A141" s="32"/>
      <c r="B141" s="97" t="s">
        <v>78</v>
      </c>
      <c r="C141" s="98" t="s">
        <v>79</v>
      </c>
      <c r="D141" s="98" t="s">
        <v>80</v>
      </c>
      <c r="E141" s="99" t="s">
        <v>81</v>
      </c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15.75" customHeight="1">
      <c r="A142" s="32"/>
      <c r="B142" s="50" t="s">
        <v>82</v>
      </c>
      <c r="C142" s="51" t="s">
        <v>83</v>
      </c>
      <c r="D142" s="51">
        <v>4</v>
      </c>
      <c r="E142" s="52" t="s">
        <v>164</v>
      </c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15.75" customHeight="1">
      <c r="A143" s="32"/>
      <c r="B143" s="50" t="s">
        <v>85</v>
      </c>
      <c r="C143" s="51" t="s">
        <v>83</v>
      </c>
      <c r="D143" s="51">
        <v>5</v>
      </c>
      <c r="E143" s="52" t="s">
        <v>165</v>
      </c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15.75" customHeight="1">
      <c r="A144" s="32"/>
      <c r="B144" s="50" t="s">
        <v>87</v>
      </c>
      <c r="C144" s="51" t="s">
        <v>83</v>
      </c>
      <c r="D144" s="51">
        <v>5</v>
      </c>
      <c r="E144" s="52" t="s">
        <v>166</v>
      </c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15.75" customHeight="1">
      <c r="A145" s="32"/>
      <c r="B145" s="50" t="s">
        <v>89</v>
      </c>
      <c r="C145" s="51" t="s">
        <v>83</v>
      </c>
      <c r="D145" s="51">
        <v>4</v>
      </c>
      <c r="E145" s="52" t="s">
        <v>167</v>
      </c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15.75" customHeight="1">
      <c r="A146" s="32"/>
      <c r="B146" s="50" t="s">
        <v>91</v>
      </c>
      <c r="C146" s="51" t="s">
        <v>83</v>
      </c>
      <c r="D146" s="51">
        <v>5</v>
      </c>
      <c r="E146" s="52" t="s">
        <v>168</v>
      </c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15.75" customHeight="1">
      <c r="A147" s="32"/>
      <c r="B147" s="50" t="s">
        <v>93</v>
      </c>
      <c r="C147" s="51" t="s">
        <v>83</v>
      </c>
      <c r="D147" s="51">
        <v>5</v>
      </c>
      <c r="E147" s="52" t="s">
        <v>169</v>
      </c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15.75" customHeight="1">
      <c r="A148" s="32"/>
      <c r="B148" s="50" t="s">
        <v>96</v>
      </c>
      <c r="C148" s="51" t="s">
        <v>83</v>
      </c>
      <c r="D148" s="51">
        <v>4</v>
      </c>
      <c r="E148" s="52" t="s">
        <v>170</v>
      </c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15.75" customHeight="1">
      <c r="A149" s="32"/>
      <c r="B149" s="50" t="s">
        <v>98</v>
      </c>
      <c r="C149" s="51" t="s">
        <v>83</v>
      </c>
      <c r="D149" s="51">
        <v>4</v>
      </c>
      <c r="E149" s="54" t="s">
        <v>171</v>
      </c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15.75" customHeight="1">
      <c r="A150" s="32"/>
      <c r="B150" s="55"/>
      <c r="C150" s="51"/>
      <c r="D150" s="51"/>
      <c r="E150" s="5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15.75" customHeight="1">
      <c r="A151" s="32"/>
      <c r="B151" s="50" t="s">
        <v>127</v>
      </c>
      <c r="C151" s="57">
        <f t="shared" si="0"/>
        <v>0.9</v>
      </c>
      <c r="D151" s="100">
        <f t="shared" si="1"/>
        <v>36</v>
      </c>
      <c r="E151" s="5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15.75" customHeight="1">
      <c r="A152" s="32"/>
      <c r="B152" s="40" t="s">
        <v>114</v>
      </c>
      <c r="C152" s="72" t="s">
        <v>172</v>
      </c>
      <c r="E152" s="43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15.75" customHeight="1">
      <c r="A153" s="32"/>
      <c r="B153" s="60"/>
      <c r="C153" s="61"/>
      <c r="D153" s="61"/>
      <c r="E153" s="6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15.75" customHeight="1">
      <c r="A154" s="32"/>
      <c r="B154" s="32"/>
      <c r="C154" s="41"/>
      <c r="D154" s="41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15.75" customHeight="1">
      <c r="A155" s="32"/>
      <c r="B155" s="32"/>
      <c r="C155" s="41"/>
      <c r="D155" s="41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15.75" customHeight="1">
      <c r="A156" s="32"/>
      <c r="B156" s="63"/>
      <c r="C156" s="64"/>
      <c r="D156" s="64"/>
      <c r="E156" s="65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15.75" customHeight="1">
      <c r="A157" s="32"/>
      <c r="B157" s="101" t="s">
        <v>173</v>
      </c>
      <c r="C157" s="37"/>
      <c r="D157" s="37"/>
      <c r="E157" s="38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15.75" customHeight="1">
      <c r="A158" s="32"/>
      <c r="B158" s="40"/>
      <c r="C158" s="41"/>
      <c r="D158" s="41"/>
      <c r="E158" s="4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15.75" customHeight="1">
      <c r="A159" s="32"/>
      <c r="B159" s="40" t="s">
        <v>130</v>
      </c>
      <c r="C159" s="41"/>
      <c r="E159" s="43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15.75" customHeight="1">
      <c r="A160" s="32"/>
      <c r="B160" s="40" t="s">
        <v>174</v>
      </c>
      <c r="C160" s="41"/>
      <c r="E160" s="43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15.75" customHeight="1">
      <c r="A161" s="32"/>
      <c r="B161" s="40" t="s">
        <v>105</v>
      </c>
      <c r="C161" s="41"/>
      <c r="E161" s="43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15.75" customHeight="1">
      <c r="A162" s="32"/>
      <c r="B162" s="40"/>
      <c r="C162" s="41"/>
      <c r="D162" s="41"/>
      <c r="E162" s="4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15.75" customHeight="1">
      <c r="A163" s="32"/>
      <c r="B163" s="102" t="s">
        <v>78</v>
      </c>
      <c r="C163" s="103" t="s">
        <v>79</v>
      </c>
      <c r="D163" s="103" t="s">
        <v>80</v>
      </c>
      <c r="E163" s="104" t="s">
        <v>81</v>
      </c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15.75" customHeight="1">
      <c r="A164" s="32"/>
      <c r="B164" s="50" t="s">
        <v>82</v>
      </c>
      <c r="C164" s="51" t="s">
        <v>83</v>
      </c>
      <c r="D164" s="51">
        <v>5</v>
      </c>
      <c r="E164" s="52" t="s">
        <v>175</v>
      </c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15.75" customHeight="1">
      <c r="A165" s="32"/>
      <c r="B165" s="50" t="s">
        <v>85</v>
      </c>
      <c r="C165" s="51" t="s">
        <v>83</v>
      </c>
      <c r="D165" s="51">
        <v>5</v>
      </c>
      <c r="E165" s="52" t="s">
        <v>176</v>
      </c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15.75" customHeight="1">
      <c r="A166" s="32"/>
      <c r="B166" s="50" t="s">
        <v>87</v>
      </c>
      <c r="C166" s="51" t="s">
        <v>83</v>
      </c>
      <c r="D166" s="51">
        <v>3</v>
      </c>
      <c r="E166" s="52" t="s">
        <v>177</v>
      </c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15.75" customHeight="1">
      <c r="A167" s="32"/>
      <c r="B167" s="50" t="s">
        <v>89</v>
      </c>
      <c r="C167" s="51" t="s">
        <v>83</v>
      </c>
      <c r="D167" s="51">
        <v>3</v>
      </c>
      <c r="E167" s="52" t="s">
        <v>178</v>
      </c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15.75" customHeight="1">
      <c r="A168" s="32"/>
      <c r="B168" s="50" t="s">
        <v>91</v>
      </c>
      <c r="C168" s="51" t="s">
        <v>83</v>
      </c>
      <c r="D168" s="51">
        <v>4</v>
      </c>
      <c r="E168" s="52" t="s">
        <v>179</v>
      </c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15.75" customHeight="1">
      <c r="A169" s="32"/>
      <c r="B169" s="50" t="s">
        <v>93</v>
      </c>
      <c r="C169" s="51" t="s">
        <v>94</v>
      </c>
      <c r="D169" s="51">
        <v>2</v>
      </c>
      <c r="E169" s="52" t="s">
        <v>180</v>
      </c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15.75" customHeight="1">
      <c r="A170" s="32"/>
      <c r="B170" s="50" t="s">
        <v>96</v>
      </c>
      <c r="C170" s="51" t="s">
        <v>83</v>
      </c>
      <c r="D170" s="51">
        <v>3</v>
      </c>
      <c r="E170" s="52" t="s">
        <v>181</v>
      </c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15.75" customHeight="1">
      <c r="A171" s="32"/>
      <c r="B171" s="50" t="s">
        <v>98</v>
      </c>
      <c r="C171" s="51" t="s">
        <v>83</v>
      </c>
      <c r="D171" s="51">
        <v>3</v>
      </c>
      <c r="E171" s="54" t="s">
        <v>182</v>
      </c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15.75" customHeight="1">
      <c r="A172" s="32"/>
      <c r="B172" s="55"/>
      <c r="C172" s="51"/>
      <c r="D172" s="51"/>
      <c r="E172" s="5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15.75" customHeight="1">
      <c r="A173" s="32"/>
      <c r="B173" s="50" t="s">
        <v>127</v>
      </c>
      <c r="C173" s="57">
        <f t="shared" si="0"/>
        <v>0.7</v>
      </c>
      <c r="D173" s="105">
        <f t="shared" si="1"/>
        <v>28</v>
      </c>
      <c r="E173" s="5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15.75" customHeight="1">
      <c r="A174" s="32"/>
      <c r="B174" s="40" t="s">
        <v>114</v>
      </c>
      <c r="C174" s="72" t="s">
        <v>183</v>
      </c>
      <c r="E174" s="43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15.75" customHeight="1">
      <c r="A175" s="32"/>
      <c r="B175" s="60"/>
      <c r="C175" s="61"/>
      <c r="D175" s="61"/>
      <c r="E175" s="6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15.75" customHeight="1">
      <c r="A176" s="32"/>
      <c r="B176" s="32"/>
      <c r="C176" s="41"/>
      <c r="D176" s="41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15.75" customHeight="1">
      <c r="A177" s="32"/>
      <c r="B177" s="32"/>
      <c r="C177" s="41"/>
      <c r="D177" s="41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15.75" customHeight="1">
      <c r="A178" s="32"/>
      <c r="B178" s="63"/>
      <c r="C178" s="64"/>
      <c r="D178" s="64"/>
      <c r="E178" s="65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15.75" customHeight="1">
      <c r="A179" s="32"/>
      <c r="B179" s="106" t="s">
        <v>184</v>
      </c>
      <c r="C179" s="37"/>
      <c r="D179" s="37"/>
      <c r="E179" s="38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15.75" customHeight="1">
      <c r="A180" s="32"/>
      <c r="B180" s="40"/>
      <c r="C180" s="41"/>
      <c r="D180" s="41"/>
      <c r="E180" s="4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15.75" customHeight="1">
      <c r="A181" s="32"/>
      <c r="B181" s="40" t="s">
        <v>130</v>
      </c>
      <c r="C181" s="41"/>
      <c r="E181" s="43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15.75" customHeight="1">
      <c r="A182" s="32"/>
      <c r="B182" s="40" t="s">
        <v>185</v>
      </c>
      <c r="C182" s="41"/>
      <c r="E182" s="43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15.75" customHeight="1">
      <c r="A183" s="32"/>
      <c r="B183" s="40" t="s">
        <v>105</v>
      </c>
      <c r="C183" s="41"/>
      <c r="E183" s="43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15.75" customHeight="1">
      <c r="A184" s="32"/>
      <c r="B184" s="40"/>
      <c r="C184" s="41"/>
      <c r="D184" s="41"/>
      <c r="E184" s="4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15.75" customHeight="1">
      <c r="A185" s="32"/>
      <c r="B185" s="107" t="s">
        <v>78</v>
      </c>
      <c r="C185" s="108" t="s">
        <v>79</v>
      </c>
      <c r="D185" s="108" t="s">
        <v>80</v>
      </c>
      <c r="E185" s="109" t="s">
        <v>81</v>
      </c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15.75" customHeight="1">
      <c r="A186" s="32"/>
      <c r="B186" s="50" t="s">
        <v>82</v>
      </c>
      <c r="C186" s="51" t="s">
        <v>83</v>
      </c>
      <c r="D186" s="51">
        <v>5</v>
      </c>
      <c r="E186" s="52" t="s">
        <v>186</v>
      </c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15.75" customHeight="1">
      <c r="A187" s="32"/>
      <c r="B187" s="50" t="s">
        <v>85</v>
      </c>
      <c r="C187" s="51" t="s">
        <v>83</v>
      </c>
      <c r="D187" s="51">
        <v>5</v>
      </c>
      <c r="E187" s="52" t="s">
        <v>187</v>
      </c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15.75" customHeight="1">
      <c r="A188" s="32"/>
      <c r="B188" s="50" t="s">
        <v>87</v>
      </c>
      <c r="C188" s="51" t="s">
        <v>83</v>
      </c>
      <c r="D188" s="51">
        <v>5</v>
      </c>
      <c r="E188" s="52" t="s">
        <v>188</v>
      </c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15.75" customHeight="1">
      <c r="A189" s="32"/>
      <c r="B189" s="50" t="s">
        <v>89</v>
      </c>
      <c r="C189" s="51" t="s">
        <v>83</v>
      </c>
      <c r="D189" s="51">
        <v>5</v>
      </c>
      <c r="E189" s="52" t="s">
        <v>189</v>
      </c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15.75" customHeight="1">
      <c r="A190" s="32"/>
      <c r="B190" s="50" t="s">
        <v>91</v>
      </c>
      <c r="C190" s="51" t="s">
        <v>83</v>
      </c>
      <c r="D190" s="51">
        <v>5</v>
      </c>
      <c r="E190" s="52" t="s">
        <v>190</v>
      </c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15.75" customHeight="1">
      <c r="A191" s="32"/>
      <c r="B191" s="50" t="s">
        <v>93</v>
      </c>
      <c r="C191" s="51" t="s">
        <v>83</v>
      </c>
      <c r="D191" s="51">
        <v>5</v>
      </c>
      <c r="E191" s="52" t="s">
        <v>191</v>
      </c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15.75" customHeight="1">
      <c r="A192" s="32"/>
      <c r="B192" s="50" t="s">
        <v>96</v>
      </c>
      <c r="C192" s="51" t="s">
        <v>83</v>
      </c>
      <c r="D192" s="51">
        <v>5</v>
      </c>
      <c r="E192" s="52" t="s">
        <v>192</v>
      </c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15.75" customHeight="1">
      <c r="A193" s="32"/>
      <c r="B193" s="50" t="s">
        <v>98</v>
      </c>
      <c r="C193" s="51" t="s">
        <v>83</v>
      </c>
      <c r="D193" s="51">
        <v>5</v>
      </c>
      <c r="E193" s="54" t="s">
        <v>193</v>
      </c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15.75" customHeight="1">
      <c r="A194" s="32"/>
      <c r="B194" s="55"/>
      <c r="C194" s="51"/>
      <c r="D194" s="51"/>
      <c r="E194" s="5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15.75" customHeight="1">
      <c r="A195" s="32"/>
      <c r="B195" s="50" t="s">
        <v>127</v>
      </c>
      <c r="C195" s="70">
        <f t="shared" si="0"/>
        <v>1</v>
      </c>
      <c r="D195" s="110">
        <f t="shared" si="1"/>
        <v>40</v>
      </c>
      <c r="E195" s="5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15.75" customHeight="1">
      <c r="A196" s="32"/>
      <c r="B196" s="40" t="s">
        <v>114</v>
      </c>
      <c r="C196" s="72" t="s">
        <v>194</v>
      </c>
      <c r="E196" s="43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15.75" customHeight="1">
      <c r="A197" s="32"/>
      <c r="B197" s="60"/>
      <c r="C197" s="61"/>
      <c r="D197" s="61"/>
      <c r="E197" s="6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15.75" customHeight="1">
      <c r="A198" s="32"/>
      <c r="B198" s="32"/>
      <c r="C198" s="41"/>
      <c r="D198" s="41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15.75" customHeight="1">
      <c r="A199" s="32"/>
      <c r="B199" s="32"/>
      <c r="C199" s="41"/>
      <c r="D199" s="41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15.75" customHeight="1">
      <c r="A200" s="32"/>
      <c r="B200" s="63"/>
      <c r="C200" s="64"/>
      <c r="D200" s="64"/>
      <c r="E200" s="65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15.75" customHeight="1">
      <c r="A201" s="32"/>
      <c r="B201" s="111" t="s">
        <v>195</v>
      </c>
      <c r="C201" s="37"/>
      <c r="D201" s="37"/>
      <c r="E201" s="38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15.75" customHeight="1">
      <c r="A202" s="32"/>
      <c r="B202" s="40"/>
      <c r="C202" s="41"/>
      <c r="D202" s="41"/>
      <c r="E202" s="4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15.75" customHeight="1">
      <c r="A203" s="32"/>
      <c r="B203" s="40" t="s">
        <v>130</v>
      </c>
      <c r="C203" s="41"/>
      <c r="E203" s="43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15.75" customHeight="1">
      <c r="A204" s="32"/>
      <c r="B204" s="40" t="s">
        <v>196</v>
      </c>
      <c r="C204" s="41"/>
      <c r="E204" s="43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15.75" customHeight="1">
      <c r="A205" s="32"/>
      <c r="B205" s="40" t="s">
        <v>105</v>
      </c>
      <c r="C205" s="41"/>
      <c r="E205" s="43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15.75" customHeight="1">
      <c r="A206" s="32"/>
      <c r="B206" s="40"/>
      <c r="C206" s="41"/>
      <c r="D206" s="41"/>
      <c r="E206" s="4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15.75" customHeight="1">
      <c r="A207" s="32"/>
      <c r="B207" s="112" t="s">
        <v>78</v>
      </c>
      <c r="C207" s="113" t="s">
        <v>79</v>
      </c>
      <c r="D207" s="113" t="s">
        <v>80</v>
      </c>
      <c r="E207" s="114" t="s">
        <v>81</v>
      </c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15.75" customHeight="1">
      <c r="A208" s="32"/>
      <c r="B208" s="50" t="s">
        <v>82</v>
      </c>
      <c r="C208" s="51" t="s">
        <v>197</v>
      </c>
      <c r="D208" s="51">
        <v>4</v>
      </c>
      <c r="E208" s="52" t="s">
        <v>198</v>
      </c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15.75" customHeight="1">
      <c r="A209" s="32"/>
      <c r="B209" s="50" t="s">
        <v>85</v>
      </c>
      <c r="C209" s="51" t="s">
        <v>197</v>
      </c>
      <c r="D209" s="51">
        <v>4</v>
      </c>
      <c r="E209" s="52" t="s">
        <v>199</v>
      </c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15.75" customHeight="1">
      <c r="A210" s="32"/>
      <c r="B210" s="50" t="s">
        <v>87</v>
      </c>
      <c r="C210" s="51" t="s">
        <v>197</v>
      </c>
      <c r="D210" s="51">
        <v>4</v>
      </c>
      <c r="E210" s="52" t="s">
        <v>200</v>
      </c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15.75" customHeight="1">
      <c r="A211" s="32"/>
      <c r="B211" s="50" t="s">
        <v>89</v>
      </c>
      <c r="C211" s="51" t="s">
        <v>197</v>
      </c>
      <c r="D211" s="51">
        <v>5</v>
      </c>
      <c r="E211" s="52" t="s">
        <v>201</v>
      </c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15.75" customHeight="1">
      <c r="A212" s="32"/>
      <c r="B212" s="50" t="s">
        <v>91</v>
      </c>
      <c r="C212" s="51" t="s">
        <v>197</v>
      </c>
      <c r="D212" s="51">
        <v>5</v>
      </c>
      <c r="E212" s="52" t="s">
        <v>202</v>
      </c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15.75" customHeight="1">
      <c r="A213" s="32"/>
      <c r="B213" s="50" t="s">
        <v>93</v>
      </c>
      <c r="C213" s="51" t="s">
        <v>197</v>
      </c>
      <c r="D213" s="51">
        <v>5</v>
      </c>
      <c r="E213" s="52" t="s">
        <v>203</v>
      </c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15.75" customHeight="1">
      <c r="A214" s="32"/>
      <c r="B214" s="50" t="s">
        <v>96</v>
      </c>
      <c r="C214" s="51" t="s">
        <v>197</v>
      </c>
      <c r="D214" s="51">
        <v>5</v>
      </c>
      <c r="E214" s="52" t="s">
        <v>204</v>
      </c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15.75" customHeight="1">
      <c r="A215" s="32"/>
      <c r="B215" s="50" t="s">
        <v>98</v>
      </c>
      <c r="C215" s="51" t="s">
        <v>197</v>
      </c>
      <c r="D215" s="51">
        <v>5</v>
      </c>
      <c r="E215" s="54" t="s">
        <v>205</v>
      </c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15.75" customHeight="1">
      <c r="A216" s="32"/>
      <c r="B216" s="55"/>
      <c r="C216" s="51"/>
      <c r="D216" s="51"/>
      <c r="E216" s="5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15.75" customHeight="1">
      <c r="A217" s="32"/>
      <c r="B217" s="50" t="s">
        <v>127</v>
      </c>
      <c r="C217" s="70">
        <f t="shared" si="0"/>
        <v>0.925</v>
      </c>
      <c r="D217" s="115">
        <f t="shared" si="1"/>
        <v>37</v>
      </c>
      <c r="E217" s="5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15.75" customHeight="1">
      <c r="A218" s="32"/>
      <c r="B218" s="40" t="s">
        <v>114</v>
      </c>
      <c r="C218" s="72" t="s">
        <v>206</v>
      </c>
      <c r="E218" s="43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15.75" customHeight="1">
      <c r="A219" s="32"/>
      <c r="B219" s="60"/>
      <c r="C219" s="61"/>
      <c r="D219" s="61"/>
      <c r="E219" s="6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15.75" customHeight="1">
      <c r="A220" s="32"/>
      <c r="B220" s="32"/>
      <c r="C220" s="41"/>
      <c r="D220" s="41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15.75" customHeight="1">
      <c r="A221" s="32"/>
      <c r="B221" s="32"/>
      <c r="C221" s="41"/>
      <c r="D221" s="41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15.75" customHeight="1">
      <c r="A222" s="32"/>
      <c r="B222" s="63"/>
      <c r="C222" s="64"/>
      <c r="D222" s="64"/>
      <c r="E222" s="65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15.75" customHeight="1">
      <c r="A223" s="32"/>
      <c r="B223" s="116" t="s">
        <v>207</v>
      </c>
      <c r="C223" s="37"/>
      <c r="D223" s="37"/>
      <c r="E223" s="38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15.75" customHeight="1">
      <c r="A224" s="32"/>
      <c r="B224" s="40"/>
      <c r="C224" s="41"/>
      <c r="D224" s="41"/>
      <c r="E224" s="4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15.75" customHeight="1">
      <c r="A225" s="32"/>
      <c r="B225" s="40" t="s">
        <v>130</v>
      </c>
      <c r="C225" s="41"/>
      <c r="E225" s="43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15.75" customHeight="1">
      <c r="A226" s="32"/>
      <c r="B226" s="40" t="s">
        <v>196</v>
      </c>
      <c r="C226" s="41"/>
      <c r="E226" s="43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15.75" customHeight="1">
      <c r="A227" s="32"/>
      <c r="B227" s="40" t="s">
        <v>105</v>
      </c>
      <c r="C227" s="41"/>
      <c r="E227" s="43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15.75" customHeight="1">
      <c r="A228" s="32"/>
      <c r="B228" s="40"/>
      <c r="C228" s="41"/>
      <c r="D228" s="41"/>
      <c r="E228" s="4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15.75" customHeight="1">
      <c r="A229" s="32"/>
      <c r="B229" s="117" t="s">
        <v>78</v>
      </c>
      <c r="C229" s="118" t="s">
        <v>79</v>
      </c>
      <c r="D229" s="118" t="s">
        <v>80</v>
      </c>
      <c r="E229" s="119" t="s">
        <v>81</v>
      </c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15.75" customHeight="1">
      <c r="A230" s="32"/>
      <c r="B230" s="50" t="s">
        <v>82</v>
      </c>
      <c r="C230" s="51" t="s">
        <v>197</v>
      </c>
      <c r="D230" s="51">
        <v>4</v>
      </c>
      <c r="E230" s="52" t="s">
        <v>198</v>
      </c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15.75" customHeight="1">
      <c r="A231" s="32"/>
      <c r="B231" s="50" t="s">
        <v>85</v>
      </c>
      <c r="C231" s="51" t="s">
        <v>197</v>
      </c>
      <c r="D231" s="51">
        <v>4</v>
      </c>
      <c r="E231" s="52" t="s">
        <v>199</v>
      </c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15.75" customHeight="1">
      <c r="A232" s="32"/>
      <c r="B232" s="50" t="s">
        <v>87</v>
      </c>
      <c r="C232" s="51" t="s">
        <v>197</v>
      </c>
      <c r="D232" s="51">
        <v>4</v>
      </c>
      <c r="E232" s="52" t="s">
        <v>200</v>
      </c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15.75" customHeight="1">
      <c r="A233" s="32"/>
      <c r="B233" s="50" t="s">
        <v>89</v>
      </c>
      <c r="C233" s="51" t="s">
        <v>197</v>
      </c>
      <c r="D233" s="51">
        <v>5</v>
      </c>
      <c r="E233" s="120" t="s">
        <v>201</v>
      </c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15.75" customHeight="1">
      <c r="A234" s="32"/>
      <c r="B234" s="50" t="s">
        <v>91</v>
      </c>
      <c r="C234" s="51" t="s">
        <v>197</v>
      </c>
      <c r="D234" s="51">
        <v>4</v>
      </c>
      <c r="E234" s="52" t="s">
        <v>208</v>
      </c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15.75" customHeight="1">
      <c r="A235" s="32"/>
      <c r="B235" s="50" t="s">
        <v>93</v>
      </c>
      <c r="C235" s="51" t="s">
        <v>197</v>
      </c>
      <c r="D235" s="51">
        <v>5</v>
      </c>
      <c r="E235" s="52" t="s">
        <v>209</v>
      </c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15.75" customHeight="1">
      <c r="A236" s="32"/>
      <c r="B236" s="50" t="s">
        <v>96</v>
      </c>
      <c r="C236" s="51" t="s">
        <v>197</v>
      </c>
      <c r="D236" s="51">
        <v>4</v>
      </c>
      <c r="E236" s="52" t="s">
        <v>97</v>
      </c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15.75" customHeight="1">
      <c r="A237" s="32"/>
      <c r="B237" s="50" t="s">
        <v>98</v>
      </c>
      <c r="C237" s="51" t="s">
        <v>197</v>
      </c>
      <c r="D237" s="53">
        <v>4</v>
      </c>
      <c r="E237" s="54" t="s">
        <v>210</v>
      </c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15.75" customHeight="1">
      <c r="A238" s="32"/>
      <c r="B238" s="55"/>
      <c r="C238" s="51"/>
      <c r="D238" s="51"/>
      <c r="E238" s="5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15.75" customHeight="1">
      <c r="A239" s="32"/>
      <c r="B239" s="50" t="s">
        <v>127</v>
      </c>
      <c r="C239" s="70">
        <f t="shared" si="0"/>
        <v>0.85</v>
      </c>
      <c r="D239" s="121">
        <f t="shared" si="1"/>
        <v>34</v>
      </c>
      <c r="E239" s="5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15.75" customHeight="1">
      <c r="A240" s="32"/>
      <c r="B240" s="40" t="s">
        <v>114</v>
      </c>
      <c r="C240" s="72" t="s">
        <v>211</v>
      </c>
      <c r="E240" s="43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15.75" customHeight="1">
      <c r="A241" s="32"/>
      <c r="B241" s="60"/>
      <c r="C241" s="61"/>
      <c r="D241" s="61"/>
      <c r="E241" s="6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15.75" customHeight="1">
      <c r="A242" s="32"/>
      <c r="B242" s="32"/>
      <c r="C242" s="41"/>
      <c r="D242" s="41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15.75" customHeight="1">
      <c r="A243" s="32"/>
      <c r="B243" s="32"/>
      <c r="C243" s="41"/>
      <c r="D243" s="41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15.75" customHeight="1">
      <c r="A244" s="32"/>
      <c r="B244" s="122"/>
      <c r="C244" s="123"/>
      <c r="D244" s="123"/>
      <c r="E244" s="124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15.75" customHeight="1">
      <c r="A245" s="32"/>
      <c r="B245" s="125" t="s">
        <v>212</v>
      </c>
      <c r="C245" s="126"/>
      <c r="D245" s="126"/>
      <c r="E245" s="127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15.75" customHeight="1">
      <c r="A246" s="32"/>
      <c r="B246" s="128"/>
      <c r="C246" s="129"/>
      <c r="D246" s="129"/>
      <c r="E246" s="130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15.75" customHeight="1">
      <c r="A247" s="32"/>
      <c r="B247" s="128" t="s">
        <v>213</v>
      </c>
      <c r="C247" s="129"/>
      <c r="E247" s="43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15.75" customHeight="1">
      <c r="A248" s="32"/>
      <c r="B248" s="128" t="s">
        <v>214</v>
      </c>
      <c r="C248" s="129"/>
      <c r="E248" s="43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15.75" customHeight="1">
      <c r="A249" s="32"/>
      <c r="B249" s="128" t="s">
        <v>132</v>
      </c>
      <c r="C249" s="129"/>
      <c r="E249" s="43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15.75" customHeight="1">
      <c r="A250" s="32"/>
      <c r="B250" s="128"/>
      <c r="C250" s="129"/>
      <c r="D250" s="129"/>
      <c r="E250" s="130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15.75" customHeight="1">
      <c r="A251" s="32"/>
      <c r="B251" s="131" t="s">
        <v>78</v>
      </c>
      <c r="C251" s="132" t="s">
        <v>79</v>
      </c>
      <c r="D251" s="132" t="s">
        <v>215</v>
      </c>
      <c r="E251" s="133" t="s">
        <v>216</v>
      </c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15.75" customHeight="1">
      <c r="A252" s="32"/>
      <c r="B252" s="134" t="s">
        <v>82</v>
      </c>
      <c r="C252" s="135" t="s">
        <v>83</v>
      </c>
      <c r="D252" s="135">
        <v>5</v>
      </c>
      <c r="E252" s="136" t="s">
        <v>217</v>
      </c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15.75" customHeight="1">
      <c r="A253" s="32"/>
      <c r="B253" s="134" t="s">
        <v>85</v>
      </c>
      <c r="C253" s="135" t="s">
        <v>83</v>
      </c>
      <c r="D253" s="135">
        <v>4</v>
      </c>
      <c r="E253" s="136" t="s">
        <v>199</v>
      </c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15.75" customHeight="1">
      <c r="A254" s="32"/>
      <c r="B254" s="134" t="s">
        <v>87</v>
      </c>
      <c r="C254" s="135" t="s">
        <v>83</v>
      </c>
      <c r="D254" s="135">
        <v>4</v>
      </c>
      <c r="E254" s="136" t="s">
        <v>200</v>
      </c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15.75" customHeight="1">
      <c r="A255" s="32"/>
      <c r="B255" s="134" t="s">
        <v>89</v>
      </c>
      <c r="C255" s="135" t="s">
        <v>83</v>
      </c>
      <c r="D255" s="135">
        <v>4</v>
      </c>
      <c r="E255" s="136" t="s">
        <v>218</v>
      </c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15.75" customHeight="1">
      <c r="A256" s="32"/>
      <c r="B256" s="134" t="s">
        <v>91</v>
      </c>
      <c r="C256" s="135" t="s">
        <v>83</v>
      </c>
      <c r="D256" s="135">
        <v>4</v>
      </c>
      <c r="E256" s="136" t="s">
        <v>208</v>
      </c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15.75" customHeight="1">
      <c r="A257" s="32"/>
      <c r="B257" s="134" t="s">
        <v>93</v>
      </c>
      <c r="C257" s="135" t="s">
        <v>83</v>
      </c>
      <c r="D257" s="135">
        <v>5</v>
      </c>
      <c r="E257" s="136" t="s">
        <v>209</v>
      </c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15.75" customHeight="1">
      <c r="A258" s="32"/>
      <c r="B258" s="134" t="s">
        <v>96</v>
      </c>
      <c r="C258" s="135" t="s">
        <v>83</v>
      </c>
      <c r="D258" s="135">
        <v>4</v>
      </c>
      <c r="E258" s="136" t="s">
        <v>97</v>
      </c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15.75" customHeight="1">
      <c r="A259" s="32"/>
      <c r="B259" s="134" t="s">
        <v>98</v>
      </c>
      <c r="C259" s="137" t="s">
        <v>83</v>
      </c>
      <c r="D259" s="137">
        <v>4</v>
      </c>
      <c r="E259" s="138" t="s">
        <v>210</v>
      </c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15.75" customHeight="1">
      <c r="A260" s="32"/>
      <c r="B260" s="128"/>
      <c r="C260" s="135"/>
      <c r="D260" s="135"/>
      <c r="E260" s="139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15.75" customHeight="1">
      <c r="A261" s="32"/>
      <c r="B261" s="140" t="s">
        <v>219</v>
      </c>
      <c r="C261" s="141">
        <f t="shared" si="0"/>
        <v>0.85</v>
      </c>
      <c r="D261" s="142">
        <f t="shared" si="1"/>
        <v>34</v>
      </c>
      <c r="E261" s="143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15.75" customHeight="1">
      <c r="A262" s="32"/>
      <c r="B262" s="128" t="s">
        <v>114</v>
      </c>
      <c r="C262" s="144" t="s">
        <v>220</v>
      </c>
      <c r="E262" s="43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15.75" customHeight="1">
      <c r="A263" s="32"/>
      <c r="B263" s="145"/>
      <c r="C263" s="146"/>
      <c r="D263" s="146"/>
      <c r="E263" s="147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15.75" customHeight="1">
      <c r="A264" s="32"/>
      <c r="B264" s="32"/>
      <c r="C264" s="41"/>
      <c r="D264" s="41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15.75" customHeight="1">
      <c r="A265" s="32"/>
      <c r="B265" s="32"/>
      <c r="C265" s="41"/>
      <c r="D265" s="41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15.75" customHeight="1">
      <c r="A266" s="32"/>
      <c r="B266" s="122"/>
      <c r="C266" s="123"/>
      <c r="D266" s="123"/>
      <c r="E266" s="124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15.75" customHeight="1">
      <c r="A267" s="32"/>
      <c r="B267" s="148" t="s">
        <v>221</v>
      </c>
      <c r="C267" s="126"/>
      <c r="D267" s="126"/>
      <c r="E267" s="127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15.75" customHeight="1">
      <c r="A268" s="32"/>
      <c r="B268" s="128"/>
      <c r="C268" s="129"/>
      <c r="D268" s="129"/>
      <c r="E268" s="130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15.75" customHeight="1">
      <c r="A269" s="32"/>
      <c r="B269" s="128" t="s">
        <v>213</v>
      </c>
      <c r="C269" s="129"/>
      <c r="E269" s="43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15.75" customHeight="1">
      <c r="A270" s="32"/>
      <c r="B270" s="128" t="s">
        <v>214</v>
      </c>
      <c r="C270" s="129"/>
      <c r="E270" s="43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15.75" customHeight="1">
      <c r="A271" s="32"/>
      <c r="B271" s="128" t="s">
        <v>132</v>
      </c>
      <c r="C271" s="129"/>
      <c r="E271" s="43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15.75" customHeight="1">
      <c r="A272" s="32"/>
      <c r="B272" s="128"/>
      <c r="C272" s="129"/>
      <c r="D272" s="129"/>
      <c r="E272" s="130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15.75" customHeight="1">
      <c r="A273" s="32"/>
      <c r="B273" s="149" t="s">
        <v>78</v>
      </c>
      <c r="C273" s="150" t="s">
        <v>79</v>
      </c>
      <c r="D273" s="150" t="s">
        <v>215</v>
      </c>
      <c r="E273" s="151" t="s">
        <v>216</v>
      </c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15.75" customHeight="1">
      <c r="A274" s="32"/>
      <c r="B274" s="134" t="s">
        <v>82</v>
      </c>
      <c r="C274" s="135" t="s">
        <v>83</v>
      </c>
      <c r="D274" s="135">
        <v>4</v>
      </c>
      <c r="E274" s="136" t="s">
        <v>198</v>
      </c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15.75" customHeight="1">
      <c r="A275" s="32"/>
      <c r="B275" s="134" t="s">
        <v>85</v>
      </c>
      <c r="C275" s="135" t="s">
        <v>83</v>
      </c>
      <c r="D275" s="135">
        <v>5</v>
      </c>
      <c r="E275" s="136" t="s">
        <v>222</v>
      </c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15.75" customHeight="1">
      <c r="A276" s="32"/>
      <c r="B276" s="134" t="s">
        <v>87</v>
      </c>
      <c r="C276" s="135" t="s">
        <v>83</v>
      </c>
      <c r="D276" s="135">
        <v>4</v>
      </c>
      <c r="E276" s="136" t="s">
        <v>200</v>
      </c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15.75" customHeight="1">
      <c r="A277" s="32"/>
      <c r="B277" s="134" t="s">
        <v>89</v>
      </c>
      <c r="C277" s="135" t="s">
        <v>83</v>
      </c>
      <c r="D277" s="135">
        <v>5</v>
      </c>
      <c r="E277" s="136" t="s">
        <v>201</v>
      </c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15.75" customHeight="1">
      <c r="A278" s="32"/>
      <c r="B278" s="134" t="s">
        <v>91</v>
      </c>
      <c r="C278" s="135" t="s">
        <v>83</v>
      </c>
      <c r="D278" s="135">
        <v>5</v>
      </c>
      <c r="E278" s="136" t="s">
        <v>202</v>
      </c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15.75" customHeight="1">
      <c r="A279" s="32"/>
      <c r="B279" s="134" t="s">
        <v>93</v>
      </c>
      <c r="C279" s="135" t="s">
        <v>94</v>
      </c>
      <c r="D279" s="135">
        <v>3</v>
      </c>
      <c r="E279" s="136" t="s">
        <v>223</v>
      </c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15.75" customHeight="1">
      <c r="A280" s="32"/>
      <c r="B280" s="134" t="s">
        <v>96</v>
      </c>
      <c r="C280" s="135" t="s">
        <v>83</v>
      </c>
      <c r="D280" s="135">
        <v>4</v>
      </c>
      <c r="E280" s="136" t="s">
        <v>97</v>
      </c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15.75" customHeight="1">
      <c r="A281" s="32"/>
      <c r="B281" s="134" t="s">
        <v>98</v>
      </c>
      <c r="C281" s="137" t="s">
        <v>83</v>
      </c>
      <c r="D281" s="137">
        <v>4</v>
      </c>
      <c r="E281" s="138" t="s">
        <v>210</v>
      </c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15.75" customHeight="1">
      <c r="A282" s="32"/>
      <c r="B282" s="128"/>
      <c r="C282" s="135"/>
      <c r="D282" s="135"/>
      <c r="E282" s="139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15.75" customHeight="1">
      <c r="A283" s="32"/>
      <c r="B283" s="140" t="s">
        <v>219</v>
      </c>
      <c r="C283" s="141">
        <f t="shared" si="0"/>
        <v>0.85</v>
      </c>
      <c r="D283" s="152">
        <f t="shared" si="1"/>
        <v>34</v>
      </c>
      <c r="E283" s="143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15.75" customHeight="1">
      <c r="A284" s="32"/>
      <c r="B284" s="128" t="s">
        <v>114</v>
      </c>
      <c r="C284" s="144" t="s">
        <v>224</v>
      </c>
      <c r="E284" s="43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15.75" customHeight="1">
      <c r="A285" s="32"/>
      <c r="B285" s="145"/>
      <c r="C285" s="146"/>
      <c r="D285" s="146"/>
      <c r="E285" s="147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15.75" customHeight="1">
      <c r="A286" s="32"/>
      <c r="B286" s="32"/>
      <c r="C286" s="41"/>
      <c r="D286" s="41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15.75" customHeight="1">
      <c r="A287" s="32"/>
      <c r="B287" s="32"/>
      <c r="C287" s="41"/>
      <c r="D287" s="41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15.75" customHeight="1">
      <c r="A288" s="32"/>
      <c r="B288" s="122"/>
      <c r="C288" s="123"/>
      <c r="D288" s="123"/>
      <c r="E288" s="124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15.75" customHeight="1">
      <c r="A289" s="32"/>
      <c r="B289" s="153" t="s">
        <v>225</v>
      </c>
      <c r="C289" s="126"/>
      <c r="D289" s="126"/>
      <c r="E289" s="127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15.75" customHeight="1">
      <c r="A290" s="32"/>
      <c r="B290" s="128"/>
      <c r="C290" s="129"/>
      <c r="D290" s="129"/>
      <c r="E290" s="130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15.75" customHeight="1">
      <c r="A291" s="32"/>
      <c r="B291" s="128" t="s">
        <v>213</v>
      </c>
      <c r="C291" s="129"/>
      <c r="E291" s="43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15.75" customHeight="1">
      <c r="A292" s="32"/>
      <c r="B292" s="128" t="s">
        <v>226</v>
      </c>
      <c r="C292" s="129"/>
      <c r="E292" s="43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15.75" customHeight="1">
      <c r="A293" s="32"/>
      <c r="B293" s="128" t="s">
        <v>132</v>
      </c>
      <c r="C293" s="129"/>
      <c r="E293" s="43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15.75" customHeight="1">
      <c r="A294" s="32"/>
      <c r="B294" s="128"/>
      <c r="C294" s="129"/>
      <c r="D294" s="129"/>
      <c r="E294" s="130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15.75" customHeight="1">
      <c r="A295" s="32"/>
      <c r="B295" s="154" t="s">
        <v>78</v>
      </c>
      <c r="C295" s="155" t="s">
        <v>79</v>
      </c>
      <c r="D295" s="155" t="s">
        <v>215</v>
      </c>
      <c r="E295" s="156" t="s">
        <v>216</v>
      </c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15.75" customHeight="1">
      <c r="A296" s="32"/>
      <c r="B296" s="134" t="s">
        <v>82</v>
      </c>
      <c r="C296" s="135" t="s">
        <v>83</v>
      </c>
      <c r="D296" s="135">
        <v>4</v>
      </c>
      <c r="E296" s="136" t="s">
        <v>198</v>
      </c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15.75" customHeight="1">
      <c r="A297" s="32"/>
      <c r="B297" s="134" t="s">
        <v>85</v>
      </c>
      <c r="C297" s="135" t="s">
        <v>83</v>
      </c>
      <c r="D297" s="135">
        <v>4</v>
      </c>
      <c r="E297" s="136" t="s">
        <v>199</v>
      </c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15.75" customHeight="1">
      <c r="A298" s="32"/>
      <c r="B298" s="134" t="s">
        <v>87</v>
      </c>
      <c r="C298" s="135" t="s">
        <v>83</v>
      </c>
      <c r="D298" s="135">
        <v>4</v>
      </c>
      <c r="E298" s="136" t="s">
        <v>200</v>
      </c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15.75" customHeight="1">
      <c r="A299" s="32"/>
      <c r="B299" s="134" t="s">
        <v>89</v>
      </c>
      <c r="C299" s="135" t="s">
        <v>83</v>
      </c>
      <c r="D299" s="135">
        <v>4</v>
      </c>
      <c r="E299" s="136" t="s">
        <v>218</v>
      </c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15.75" customHeight="1">
      <c r="A300" s="32"/>
      <c r="B300" s="134" t="s">
        <v>91</v>
      </c>
      <c r="C300" s="135" t="s">
        <v>83</v>
      </c>
      <c r="D300" s="135">
        <v>4</v>
      </c>
      <c r="E300" s="136" t="s">
        <v>208</v>
      </c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15.75" customHeight="1">
      <c r="A301" s="32"/>
      <c r="B301" s="134" t="s">
        <v>93</v>
      </c>
      <c r="C301" s="135" t="s">
        <v>83</v>
      </c>
      <c r="D301" s="135">
        <v>4</v>
      </c>
      <c r="E301" s="136" t="s">
        <v>227</v>
      </c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15.75" customHeight="1">
      <c r="A302" s="32"/>
      <c r="B302" s="134" t="s">
        <v>96</v>
      </c>
      <c r="C302" s="135" t="s">
        <v>83</v>
      </c>
      <c r="D302" s="135">
        <v>5</v>
      </c>
      <c r="E302" s="136" t="s">
        <v>204</v>
      </c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15.75" customHeight="1">
      <c r="A303" s="32"/>
      <c r="B303" s="134" t="s">
        <v>98</v>
      </c>
      <c r="C303" s="137" t="s">
        <v>83</v>
      </c>
      <c r="D303" s="137">
        <v>4</v>
      </c>
      <c r="E303" s="138" t="s">
        <v>210</v>
      </c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15.75" customHeight="1">
      <c r="A304" s="32"/>
      <c r="B304" s="128"/>
      <c r="C304" s="135"/>
      <c r="D304" s="135"/>
      <c r="E304" s="139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15.75" customHeight="1">
      <c r="A305" s="32"/>
      <c r="B305" s="140" t="s">
        <v>219</v>
      </c>
      <c r="C305" s="141">
        <f t="shared" si="0"/>
        <v>0.825</v>
      </c>
      <c r="D305" s="157">
        <f t="shared" si="1"/>
        <v>33</v>
      </c>
      <c r="E305" s="143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15.75" customHeight="1">
      <c r="A306" s="32"/>
      <c r="B306" s="128" t="s">
        <v>114</v>
      </c>
      <c r="C306" s="144" t="s">
        <v>228</v>
      </c>
      <c r="E306" s="43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15.75" customHeight="1">
      <c r="A307" s="32"/>
      <c r="B307" s="145"/>
      <c r="C307" s="146"/>
      <c r="D307" s="146"/>
      <c r="E307" s="147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15.75" customHeight="1">
      <c r="A308" s="32"/>
      <c r="B308" s="32"/>
      <c r="C308" s="41"/>
      <c r="D308" s="41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15.75" customHeight="1">
      <c r="A309" s="32"/>
      <c r="B309" s="32"/>
      <c r="C309" s="41"/>
      <c r="D309" s="41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15.75" customHeight="1">
      <c r="A310" s="32"/>
      <c r="B310" s="122"/>
      <c r="C310" s="123"/>
      <c r="D310" s="123"/>
      <c r="E310" s="124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15.75" customHeight="1">
      <c r="A311" s="32"/>
      <c r="B311" s="158" t="s">
        <v>229</v>
      </c>
      <c r="C311" s="126"/>
      <c r="D311" s="126"/>
      <c r="E311" s="127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15.75" customHeight="1">
      <c r="A312" s="32"/>
      <c r="B312" s="128"/>
      <c r="C312" s="129"/>
      <c r="D312" s="129"/>
      <c r="E312" s="130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15.75" customHeight="1">
      <c r="A313" s="32"/>
      <c r="B313" s="128" t="s">
        <v>213</v>
      </c>
      <c r="C313" s="129"/>
      <c r="E313" s="43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15.75" customHeight="1">
      <c r="A314" s="32"/>
      <c r="B314" s="128" t="s">
        <v>226</v>
      </c>
      <c r="C314" s="129"/>
      <c r="E314" s="43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15.75" customHeight="1">
      <c r="A315" s="32"/>
      <c r="B315" s="128" t="s">
        <v>132</v>
      </c>
      <c r="C315" s="129"/>
      <c r="E315" s="43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15.75" customHeight="1">
      <c r="A316" s="32"/>
      <c r="B316" s="128"/>
      <c r="C316" s="129"/>
      <c r="D316" s="129"/>
      <c r="E316" s="130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15.75" customHeight="1">
      <c r="A317" s="32"/>
      <c r="B317" s="159" t="s">
        <v>78</v>
      </c>
      <c r="C317" s="160" t="s">
        <v>79</v>
      </c>
      <c r="D317" s="160" t="s">
        <v>215</v>
      </c>
      <c r="E317" s="161" t="s">
        <v>216</v>
      </c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15.75" customHeight="1">
      <c r="A318" s="32"/>
      <c r="B318" s="134" t="s">
        <v>82</v>
      </c>
      <c r="C318" s="135" t="s">
        <v>83</v>
      </c>
      <c r="D318" s="135">
        <v>4</v>
      </c>
      <c r="E318" s="136" t="s">
        <v>198</v>
      </c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15.75" customHeight="1">
      <c r="A319" s="32"/>
      <c r="B319" s="134" t="s">
        <v>85</v>
      </c>
      <c r="C319" s="135" t="s">
        <v>83</v>
      </c>
      <c r="D319" s="135">
        <v>5</v>
      </c>
      <c r="E319" s="136" t="s">
        <v>222</v>
      </c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15.75" customHeight="1">
      <c r="A320" s="32"/>
      <c r="B320" s="134" t="s">
        <v>87</v>
      </c>
      <c r="C320" s="135" t="s">
        <v>83</v>
      </c>
      <c r="D320" s="135">
        <v>4</v>
      </c>
      <c r="E320" s="136" t="s">
        <v>200</v>
      </c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15.75" customHeight="1">
      <c r="A321" s="32"/>
      <c r="B321" s="134" t="s">
        <v>89</v>
      </c>
      <c r="C321" s="135" t="s">
        <v>83</v>
      </c>
      <c r="D321" s="135">
        <v>4</v>
      </c>
      <c r="E321" s="136" t="s">
        <v>218</v>
      </c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15.75" customHeight="1">
      <c r="A322" s="32"/>
      <c r="B322" s="134" t="s">
        <v>91</v>
      </c>
      <c r="C322" s="135" t="s">
        <v>83</v>
      </c>
      <c r="D322" s="135">
        <v>5</v>
      </c>
      <c r="E322" s="136" t="s">
        <v>202</v>
      </c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15.75" customHeight="1">
      <c r="A323" s="32"/>
      <c r="B323" s="134" t="s">
        <v>93</v>
      </c>
      <c r="C323" s="135" t="s">
        <v>83</v>
      </c>
      <c r="D323" s="135">
        <v>4</v>
      </c>
      <c r="E323" s="136" t="s">
        <v>227</v>
      </c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15.75" customHeight="1">
      <c r="A324" s="32"/>
      <c r="B324" s="134" t="s">
        <v>96</v>
      </c>
      <c r="C324" s="135" t="s">
        <v>83</v>
      </c>
      <c r="D324" s="135">
        <v>5</v>
      </c>
      <c r="E324" s="136" t="s">
        <v>204</v>
      </c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15.75" customHeight="1">
      <c r="A325" s="32"/>
      <c r="B325" s="134" t="s">
        <v>98</v>
      </c>
      <c r="C325" s="137" t="s">
        <v>83</v>
      </c>
      <c r="D325" s="137">
        <v>5</v>
      </c>
      <c r="E325" s="138" t="s">
        <v>205</v>
      </c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15.75" customHeight="1">
      <c r="A326" s="32"/>
      <c r="B326" s="128"/>
      <c r="C326" s="135"/>
      <c r="D326" s="135"/>
      <c r="E326" s="139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15.75" customHeight="1">
      <c r="A327" s="32"/>
      <c r="B327" s="140" t="s">
        <v>219</v>
      </c>
      <c r="C327" s="141">
        <f t="shared" si="0"/>
        <v>0.9</v>
      </c>
      <c r="D327" s="162">
        <f>SUM(D318:D326)</f>
        <v>36</v>
      </c>
      <c r="E327" s="143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15.75" customHeight="1">
      <c r="A328" s="32"/>
      <c r="B328" s="128" t="s">
        <v>114</v>
      </c>
      <c r="C328" s="144" t="s">
        <v>230</v>
      </c>
      <c r="E328" s="43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15.75" customHeight="1">
      <c r="A329" s="32"/>
      <c r="B329" s="145"/>
      <c r="C329" s="146"/>
      <c r="D329" s="146"/>
      <c r="E329" s="147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15.75" customHeight="1">
      <c r="A330" s="32"/>
      <c r="B330" s="32"/>
      <c r="C330" s="41"/>
      <c r="D330" s="41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15.75" customHeight="1">
      <c r="A331" s="32"/>
      <c r="B331" s="32"/>
      <c r="C331" s="41"/>
      <c r="D331" s="41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15.75" customHeight="1">
      <c r="A332" s="32"/>
      <c r="B332" s="122"/>
      <c r="C332" s="123"/>
      <c r="D332" s="123"/>
      <c r="E332" s="124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15.75" customHeight="1">
      <c r="A333" s="32"/>
      <c r="B333" s="163" t="s">
        <v>231</v>
      </c>
      <c r="C333" s="126"/>
      <c r="D333" s="126"/>
      <c r="E333" s="127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15.75" customHeight="1">
      <c r="A334" s="32"/>
      <c r="B334" s="128"/>
      <c r="C334" s="129"/>
      <c r="D334" s="129"/>
      <c r="E334" s="130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15.75" customHeight="1">
      <c r="A335" s="32"/>
      <c r="B335" s="128" t="s">
        <v>213</v>
      </c>
      <c r="C335" s="129"/>
      <c r="E335" s="43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15.75" customHeight="1">
      <c r="A336" s="32"/>
      <c r="B336" s="128" t="s">
        <v>232</v>
      </c>
      <c r="C336" s="129"/>
      <c r="E336" s="43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15.75" customHeight="1">
      <c r="A337" s="32"/>
      <c r="B337" s="128" t="s">
        <v>132</v>
      </c>
      <c r="C337" s="129"/>
      <c r="E337" s="43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15.75" customHeight="1">
      <c r="A338" s="32"/>
      <c r="B338" s="128"/>
      <c r="C338" s="129"/>
      <c r="D338" s="129"/>
      <c r="E338" s="130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15.75" customHeight="1">
      <c r="A339" s="32"/>
      <c r="B339" s="164" t="s">
        <v>78</v>
      </c>
      <c r="C339" s="165" t="s">
        <v>79</v>
      </c>
      <c r="D339" s="165" t="s">
        <v>215</v>
      </c>
      <c r="E339" s="166" t="s">
        <v>216</v>
      </c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15.75" customHeight="1">
      <c r="A340" s="32"/>
      <c r="B340" s="134" t="s">
        <v>82</v>
      </c>
      <c r="C340" s="135" t="s">
        <v>83</v>
      </c>
      <c r="D340" s="135">
        <v>5</v>
      </c>
      <c r="E340" s="136" t="s">
        <v>217</v>
      </c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15.75" customHeight="1">
      <c r="A341" s="32"/>
      <c r="B341" s="134" t="s">
        <v>85</v>
      </c>
      <c r="C341" s="135" t="s">
        <v>83</v>
      </c>
      <c r="D341" s="135">
        <v>5</v>
      </c>
      <c r="E341" s="136" t="s">
        <v>222</v>
      </c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15.75" customHeight="1">
      <c r="A342" s="32"/>
      <c r="B342" s="134" t="s">
        <v>87</v>
      </c>
      <c r="C342" s="135" t="s">
        <v>83</v>
      </c>
      <c r="D342" s="135">
        <v>4</v>
      </c>
      <c r="E342" s="136" t="s">
        <v>200</v>
      </c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15.75" customHeight="1">
      <c r="A343" s="32"/>
      <c r="B343" s="134" t="s">
        <v>89</v>
      </c>
      <c r="C343" s="135" t="s">
        <v>83</v>
      </c>
      <c r="D343" s="135">
        <v>4</v>
      </c>
      <c r="E343" s="136" t="s">
        <v>218</v>
      </c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15.75" customHeight="1">
      <c r="A344" s="32"/>
      <c r="B344" s="134" t="s">
        <v>91</v>
      </c>
      <c r="C344" s="135" t="s">
        <v>83</v>
      </c>
      <c r="D344" s="135">
        <v>4</v>
      </c>
      <c r="E344" s="136" t="s">
        <v>208</v>
      </c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15.75" customHeight="1">
      <c r="A345" s="32"/>
      <c r="B345" s="134" t="s">
        <v>93</v>
      </c>
      <c r="C345" s="135" t="s">
        <v>94</v>
      </c>
      <c r="D345" s="135">
        <v>3</v>
      </c>
      <c r="E345" s="136" t="s">
        <v>223</v>
      </c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15.75" customHeight="1">
      <c r="A346" s="32"/>
      <c r="B346" s="134" t="s">
        <v>96</v>
      </c>
      <c r="C346" s="135" t="s">
        <v>83</v>
      </c>
      <c r="D346" s="135">
        <v>4</v>
      </c>
      <c r="E346" s="136" t="s">
        <v>97</v>
      </c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15.75" customHeight="1">
      <c r="A347" s="32"/>
      <c r="B347" s="134" t="s">
        <v>98</v>
      </c>
      <c r="C347" s="137" t="s">
        <v>83</v>
      </c>
      <c r="D347" s="137">
        <v>4</v>
      </c>
      <c r="E347" s="138" t="s">
        <v>210</v>
      </c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15.75" customHeight="1">
      <c r="A348" s="32"/>
      <c r="B348" s="128"/>
      <c r="C348" s="135"/>
      <c r="D348" s="135"/>
      <c r="E348" s="139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15.75" customHeight="1">
      <c r="A349" s="32"/>
      <c r="B349" s="140" t="s">
        <v>219</v>
      </c>
      <c r="C349" s="141">
        <f t="shared" si="0"/>
        <v>0.825</v>
      </c>
      <c r="D349" s="167">
        <f t="shared" si="1"/>
        <v>33</v>
      </c>
      <c r="E349" s="143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15.75" customHeight="1">
      <c r="A350" s="32"/>
      <c r="B350" s="128" t="s">
        <v>114</v>
      </c>
      <c r="C350" s="168" t="s">
        <v>233</v>
      </c>
      <c r="E350" s="43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15.75" customHeight="1">
      <c r="A351" s="32"/>
      <c r="B351" s="145"/>
      <c r="C351" s="146"/>
      <c r="D351" s="146"/>
      <c r="E351" s="147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15.75" customHeight="1">
      <c r="A352" s="32"/>
      <c r="B352" s="32"/>
      <c r="C352" s="41"/>
      <c r="D352" s="41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15.75" customHeight="1">
      <c r="A353" s="32"/>
      <c r="B353" s="32"/>
      <c r="C353" s="41"/>
      <c r="D353" s="41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15.75" customHeight="1">
      <c r="A354" s="32"/>
      <c r="B354" s="122"/>
      <c r="C354" s="123"/>
      <c r="D354" s="123"/>
      <c r="E354" s="124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15.75" customHeight="1">
      <c r="A355" s="32"/>
      <c r="B355" s="169" t="s">
        <v>234</v>
      </c>
      <c r="C355" s="126"/>
      <c r="D355" s="126"/>
      <c r="E355" s="127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15.75" customHeight="1">
      <c r="A356" s="32"/>
      <c r="B356" s="128"/>
      <c r="C356" s="129"/>
      <c r="D356" s="129"/>
      <c r="E356" s="130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15.75" customHeight="1">
      <c r="A357" s="32"/>
      <c r="B357" s="128" t="s">
        <v>213</v>
      </c>
      <c r="C357" s="129"/>
      <c r="E357" s="43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15.75" customHeight="1">
      <c r="A358" s="32"/>
      <c r="B358" s="128" t="s">
        <v>232</v>
      </c>
      <c r="C358" s="129"/>
      <c r="E358" s="43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15.75" customHeight="1">
      <c r="A359" s="32"/>
      <c r="B359" s="128" t="s">
        <v>132</v>
      </c>
      <c r="C359" s="129"/>
      <c r="E359" s="43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15.75" customHeight="1">
      <c r="A360" s="32"/>
      <c r="B360" s="128"/>
      <c r="C360" s="129"/>
      <c r="D360" s="129"/>
      <c r="E360" s="130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15.75" customHeight="1">
      <c r="A361" s="32"/>
      <c r="B361" s="170" t="s">
        <v>78</v>
      </c>
      <c r="C361" s="171" t="s">
        <v>79</v>
      </c>
      <c r="D361" s="171" t="s">
        <v>215</v>
      </c>
      <c r="E361" s="172" t="s">
        <v>216</v>
      </c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15.75" customHeight="1">
      <c r="A362" s="32"/>
      <c r="B362" s="134" t="s">
        <v>82</v>
      </c>
      <c r="C362" s="135" t="s">
        <v>83</v>
      </c>
      <c r="D362" s="135">
        <v>5</v>
      </c>
      <c r="E362" s="136" t="s">
        <v>217</v>
      </c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15.75" customHeight="1">
      <c r="A363" s="32"/>
      <c r="B363" s="134" t="s">
        <v>85</v>
      </c>
      <c r="C363" s="135" t="s">
        <v>83</v>
      </c>
      <c r="D363" s="135">
        <v>5</v>
      </c>
      <c r="E363" s="136" t="s">
        <v>222</v>
      </c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15.75" customHeight="1">
      <c r="A364" s="32"/>
      <c r="B364" s="134" t="s">
        <v>87</v>
      </c>
      <c r="C364" s="135" t="s">
        <v>83</v>
      </c>
      <c r="D364" s="135">
        <v>5</v>
      </c>
      <c r="E364" s="136" t="s">
        <v>235</v>
      </c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15.75" customHeight="1">
      <c r="A365" s="32"/>
      <c r="B365" s="134" t="s">
        <v>89</v>
      </c>
      <c r="C365" s="135" t="s">
        <v>83</v>
      </c>
      <c r="D365" s="135">
        <v>5</v>
      </c>
      <c r="E365" s="136" t="s">
        <v>201</v>
      </c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15.75" customHeight="1">
      <c r="A366" s="32"/>
      <c r="B366" s="134" t="s">
        <v>91</v>
      </c>
      <c r="C366" s="135" t="s">
        <v>83</v>
      </c>
      <c r="D366" s="135">
        <v>4</v>
      </c>
      <c r="E366" s="136" t="s">
        <v>208</v>
      </c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15.75" customHeight="1">
      <c r="A367" s="32"/>
      <c r="B367" s="134" t="s">
        <v>93</v>
      </c>
      <c r="C367" s="135" t="s">
        <v>94</v>
      </c>
      <c r="D367" s="135">
        <v>3</v>
      </c>
      <c r="E367" s="136" t="s">
        <v>236</v>
      </c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15.75" customHeight="1">
      <c r="A368" s="32"/>
      <c r="B368" s="134" t="s">
        <v>96</v>
      </c>
      <c r="C368" s="135" t="s">
        <v>83</v>
      </c>
      <c r="D368" s="135">
        <v>4</v>
      </c>
      <c r="E368" s="136" t="s">
        <v>97</v>
      </c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15.75" customHeight="1">
      <c r="A369" s="32"/>
      <c r="B369" s="134" t="s">
        <v>98</v>
      </c>
      <c r="C369" s="137" t="s">
        <v>83</v>
      </c>
      <c r="D369" s="137">
        <v>5</v>
      </c>
      <c r="E369" s="138" t="s">
        <v>205</v>
      </c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15.75" customHeight="1">
      <c r="A370" s="32"/>
      <c r="B370" s="128"/>
      <c r="C370" s="135"/>
      <c r="D370" s="135"/>
      <c r="E370" s="139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15.75" customHeight="1">
      <c r="A371" s="32"/>
      <c r="B371" s="140" t="s">
        <v>219</v>
      </c>
      <c r="C371" s="141">
        <f t="shared" si="0"/>
        <v>0.9</v>
      </c>
      <c r="D371" s="173">
        <v>36</v>
      </c>
      <c r="E371" s="143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15.75" customHeight="1">
      <c r="A372" s="32"/>
      <c r="B372" s="128" t="s">
        <v>114</v>
      </c>
      <c r="C372" s="144" t="s">
        <v>237</v>
      </c>
      <c r="E372" s="43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15.75" customHeight="1">
      <c r="A373" s="32"/>
      <c r="B373" s="145"/>
      <c r="C373" s="146"/>
      <c r="D373" s="146"/>
      <c r="E373" s="147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15.75" customHeight="1">
      <c r="A374" s="32"/>
      <c r="B374" s="32"/>
      <c r="C374" s="41"/>
      <c r="D374" s="41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15.75" customHeight="1">
      <c r="A375" s="32"/>
      <c r="B375" s="32"/>
      <c r="C375" s="41"/>
      <c r="D375" s="41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15.75" customHeight="1">
      <c r="A376" s="32"/>
      <c r="B376" s="122"/>
      <c r="C376" s="123"/>
      <c r="D376" s="123"/>
      <c r="E376" s="124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15.75" customHeight="1">
      <c r="A377" s="32"/>
      <c r="B377" s="174" t="s">
        <v>238</v>
      </c>
      <c r="C377" s="126"/>
      <c r="D377" s="126"/>
      <c r="E377" s="127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15.75" customHeight="1">
      <c r="A378" s="32"/>
      <c r="B378" s="128"/>
      <c r="C378" s="129"/>
      <c r="D378" s="129"/>
      <c r="E378" s="130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15.75" customHeight="1">
      <c r="A379" s="32"/>
      <c r="B379" s="128" t="s">
        <v>213</v>
      </c>
      <c r="C379" s="129"/>
      <c r="E379" s="43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15.75" customHeight="1">
      <c r="A380" s="32"/>
      <c r="B380" s="128" t="s">
        <v>239</v>
      </c>
      <c r="C380" s="129"/>
      <c r="E380" s="43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15.75" customHeight="1">
      <c r="A381" s="32"/>
      <c r="B381" s="128" t="s">
        <v>132</v>
      </c>
      <c r="C381" s="129"/>
      <c r="E381" s="43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15.75" customHeight="1">
      <c r="A382" s="32"/>
      <c r="B382" s="128"/>
      <c r="C382" s="129"/>
      <c r="D382" s="129"/>
      <c r="E382" s="130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15.75" customHeight="1">
      <c r="A383" s="32"/>
      <c r="B383" s="175" t="s">
        <v>78</v>
      </c>
      <c r="C383" s="176" t="s">
        <v>79</v>
      </c>
      <c r="D383" s="176" t="s">
        <v>215</v>
      </c>
      <c r="E383" s="177" t="s">
        <v>216</v>
      </c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15.75" customHeight="1">
      <c r="A384" s="32"/>
      <c r="B384" s="134" t="s">
        <v>82</v>
      </c>
      <c r="C384" s="135" t="s">
        <v>83</v>
      </c>
      <c r="D384" s="135">
        <v>5</v>
      </c>
      <c r="E384" s="136" t="s">
        <v>217</v>
      </c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15.75" customHeight="1">
      <c r="A385" s="32"/>
      <c r="B385" s="134" t="s">
        <v>85</v>
      </c>
      <c r="C385" s="135" t="s">
        <v>83</v>
      </c>
      <c r="D385" s="135">
        <v>5</v>
      </c>
      <c r="E385" s="136" t="s">
        <v>222</v>
      </c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15.75" customHeight="1">
      <c r="A386" s="32"/>
      <c r="B386" s="134" t="s">
        <v>87</v>
      </c>
      <c r="C386" s="135" t="s">
        <v>83</v>
      </c>
      <c r="D386" s="135">
        <v>5</v>
      </c>
      <c r="E386" s="136" t="s">
        <v>235</v>
      </c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15.75" customHeight="1">
      <c r="A387" s="32"/>
      <c r="B387" s="134" t="s">
        <v>89</v>
      </c>
      <c r="C387" s="135" t="s">
        <v>83</v>
      </c>
      <c r="D387" s="135">
        <v>5</v>
      </c>
      <c r="E387" s="136" t="s">
        <v>201</v>
      </c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15.75" customHeight="1">
      <c r="A388" s="32"/>
      <c r="B388" s="134" t="s">
        <v>91</v>
      </c>
      <c r="C388" s="135" t="s">
        <v>83</v>
      </c>
      <c r="D388" s="135">
        <v>5</v>
      </c>
      <c r="E388" s="136" t="s">
        <v>202</v>
      </c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15.75" customHeight="1">
      <c r="A389" s="32"/>
      <c r="B389" s="134" t="s">
        <v>93</v>
      </c>
      <c r="C389" s="135" t="s">
        <v>83</v>
      </c>
      <c r="D389" s="135">
        <v>5</v>
      </c>
      <c r="E389" s="136" t="s">
        <v>209</v>
      </c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15.75" customHeight="1">
      <c r="A390" s="32"/>
      <c r="B390" s="134" t="s">
        <v>96</v>
      </c>
      <c r="C390" s="135" t="s">
        <v>83</v>
      </c>
      <c r="D390" s="135">
        <v>4</v>
      </c>
      <c r="E390" s="136" t="s">
        <v>97</v>
      </c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15.75" customHeight="1">
      <c r="A391" s="32"/>
      <c r="B391" s="134" t="s">
        <v>98</v>
      </c>
      <c r="C391" s="137" t="s">
        <v>83</v>
      </c>
      <c r="D391" s="137">
        <v>5</v>
      </c>
      <c r="E391" s="138" t="s">
        <v>205</v>
      </c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15.75" customHeight="1">
      <c r="A392" s="32"/>
      <c r="B392" s="128"/>
      <c r="C392" s="135"/>
      <c r="D392" s="135"/>
      <c r="E392" s="139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15.75" customHeight="1">
      <c r="A393" s="32"/>
      <c r="B393" s="140" t="s">
        <v>219</v>
      </c>
      <c r="C393" s="141">
        <f t="shared" si="0"/>
        <v>0.975</v>
      </c>
      <c r="D393" s="178">
        <v>39</v>
      </c>
      <c r="E393" s="143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15.75" customHeight="1">
      <c r="A394" s="32"/>
      <c r="B394" s="128" t="s">
        <v>114</v>
      </c>
      <c r="C394" s="144" t="s">
        <v>240</v>
      </c>
      <c r="E394" s="43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15.75" customHeight="1">
      <c r="A395" s="32"/>
      <c r="B395" s="145"/>
      <c r="C395" s="146"/>
      <c r="D395" s="146"/>
      <c r="E395" s="147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15.75" customHeight="1">
      <c r="A396" s="32"/>
      <c r="B396" s="32"/>
      <c r="C396" s="41"/>
      <c r="D396" s="41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15.75" customHeight="1">
      <c r="A397" s="32"/>
      <c r="B397" s="32"/>
      <c r="C397" s="41"/>
      <c r="D397" s="41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15.75" customHeight="1">
      <c r="A398" s="32"/>
      <c r="B398" s="122"/>
      <c r="C398" s="123"/>
      <c r="D398" s="123"/>
      <c r="E398" s="124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15.75" customHeight="1">
      <c r="A399" s="32"/>
      <c r="B399" s="179" t="s">
        <v>241</v>
      </c>
      <c r="C399" s="126"/>
      <c r="D399" s="126"/>
      <c r="E399" s="127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15.75" customHeight="1">
      <c r="A400" s="32"/>
      <c r="B400" s="128"/>
      <c r="C400" s="129"/>
      <c r="D400" s="129"/>
      <c r="E400" s="130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15.75" customHeight="1">
      <c r="A401" s="32"/>
      <c r="B401" s="128" t="s">
        <v>213</v>
      </c>
      <c r="C401" s="129"/>
      <c r="E401" s="43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15.75" customHeight="1">
      <c r="A402" s="32"/>
      <c r="B402" s="128" t="s">
        <v>239</v>
      </c>
      <c r="C402" s="129"/>
      <c r="E402" s="43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15.75" customHeight="1">
      <c r="A403" s="32"/>
      <c r="B403" s="128" t="s">
        <v>132</v>
      </c>
      <c r="C403" s="129"/>
      <c r="E403" s="43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15.75" customHeight="1">
      <c r="A404" s="32"/>
      <c r="B404" s="128"/>
      <c r="C404" s="129"/>
      <c r="D404" s="129"/>
      <c r="E404" s="130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15.75" customHeight="1">
      <c r="A405" s="32"/>
      <c r="B405" s="180" t="s">
        <v>78</v>
      </c>
      <c r="C405" s="181" t="s">
        <v>79</v>
      </c>
      <c r="D405" s="181" t="s">
        <v>215</v>
      </c>
      <c r="E405" s="182" t="s">
        <v>216</v>
      </c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15.75" customHeight="1">
      <c r="A406" s="32"/>
      <c r="B406" s="134" t="s">
        <v>82</v>
      </c>
      <c r="C406" s="135" t="s">
        <v>83</v>
      </c>
      <c r="D406" s="135">
        <v>4</v>
      </c>
      <c r="E406" s="136" t="s">
        <v>198</v>
      </c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15.75" customHeight="1">
      <c r="A407" s="32"/>
      <c r="B407" s="134" t="s">
        <v>85</v>
      </c>
      <c r="C407" s="135" t="s">
        <v>83</v>
      </c>
      <c r="D407" s="135">
        <v>5</v>
      </c>
      <c r="E407" s="136" t="s">
        <v>222</v>
      </c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15.75" customHeight="1">
      <c r="A408" s="32"/>
      <c r="B408" s="134" t="s">
        <v>87</v>
      </c>
      <c r="C408" s="135" t="s">
        <v>83</v>
      </c>
      <c r="D408" s="135">
        <v>4</v>
      </c>
      <c r="E408" s="136" t="s">
        <v>200</v>
      </c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15.75" customHeight="1">
      <c r="A409" s="32"/>
      <c r="B409" s="134" t="s">
        <v>89</v>
      </c>
      <c r="C409" s="135" t="s">
        <v>83</v>
      </c>
      <c r="D409" s="135">
        <v>4</v>
      </c>
      <c r="E409" s="136" t="s">
        <v>218</v>
      </c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15.75" customHeight="1">
      <c r="A410" s="32"/>
      <c r="B410" s="134" t="s">
        <v>91</v>
      </c>
      <c r="C410" s="135" t="s">
        <v>83</v>
      </c>
      <c r="D410" s="135">
        <v>4</v>
      </c>
      <c r="E410" s="136" t="s">
        <v>208</v>
      </c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15.75" customHeight="1">
      <c r="A411" s="32"/>
      <c r="B411" s="134" t="s">
        <v>93</v>
      </c>
      <c r="C411" s="135" t="s">
        <v>83</v>
      </c>
      <c r="D411" s="135">
        <v>5</v>
      </c>
      <c r="E411" s="136" t="s">
        <v>209</v>
      </c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15.75" customHeight="1">
      <c r="A412" s="32"/>
      <c r="B412" s="134" t="s">
        <v>96</v>
      </c>
      <c r="C412" s="135" t="s">
        <v>83</v>
      </c>
      <c r="D412" s="135">
        <v>4</v>
      </c>
      <c r="E412" s="136" t="s">
        <v>97</v>
      </c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15.75" customHeight="1">
      <c r="A413" s="32"/>
      <c r="B413" s="134" t="s">
        <v>98</v>
      </c>
      <c r="C413" s="137" t="s">
        <v>83</v>
      </c>
      <c r="D413" s="137">
        <v>5</v>
      </c>
      <c r="E413" s="138" t="s">
        <v>205</v>
      </c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15.75" customHeight="1">
      <c r="A414" s="32"/>
      <c r="B414" s="128"/>
      <c r="C414" s="135"/>
      <c r="D414" s="135"/>
      <c r="E414" s="139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15.75" customHeight="1">
      <c r="A415" s="32"/>
      <c r="B415" s="140" t="s">
        <v>219</v>
      </c>
      <c r="C415" s="141">
        <f t="shared" si="0"/>
        <v>0.875</v>
      </c>
      <c r="D415" s="183">
        <v>35</v>
      </c>
      <c r="E415" s="143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15.75" customHeight="1">
      <c r="A416" s="32"/>
      <c r="B416" s="128" t="s">
        <v>114</v>
      </c>
      <c r="C416" s="144" t="s">
        <v>242</v>
      </c>
      <c r="E416" s="43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15.75" customHeight="1">
      <c r="A417" s="32"/>
      <c r="B417" s="145"/>
      <c r="C417" s="146"/>
      <c r="D417" s="146"/>
      <c r="E417" s="147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15.75" customHeight="1">
      <c r="A418" s="32"/>
      <c r="B418" s="32"/>
      <c r="C418" s="41"/>
      <c r="D418" s="41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15.75" customHeight="1">
      <c r="A419" s="32"/>
      <c r="B419" s="32"/>
      <c r="C419" s="41"/>
      <c r="D419" s="41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15.75" customHeight="1">
      <c r="A420" s="32"/>
      <c r="B420" s="122"/>
      <c r="C420" s="123"/>
      <c r="D420" s="123"/>
      <c r="E420" s="124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15.75" customHeight="1">
      <c r="A421" s="32"/>
      <c r="B421" s="184" t="s">
        <v>243</v>
      </c>
      <c r="C421" s="126"/>
      <c r="D421" s="126"/>
      <c r="E421" s="127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15.75" customHeight="1">
      <c r="A422" s="32"/>
      <c r="B422" s="128"/>
      <c r="C422" s="129"/>
      <c r="D422" s="129"/>
      <c r="E422" s="130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15.75" customHeight="1">
      <c r="A423" s="32"/>
      <c r="B423" s="128" t="s">
        <v>213</v>
      </c>
      <c r="C423" s="129"/>
      <c r="E423" s="43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15.75" customHeight="1">
      <c r="A424" s="32"/>
      <c r="B424" s="128" t="s">
        <v>244</v>
      </c>
      <c r="C424" s="129"/>
      <c r="E424" s="43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15.75" customHeight="1">
      <c r="A425" s="32"/>
      <c r="B425" s="128" t="s">
        <v>132</v>
      </c>
      <c r="C425" s="129"/>
      <c r="E425" s="43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15.75" customHeight="1">
      <c r="A426" s="32"/>
      <c r="B426" s="128"/>
      <c r="C426" s="129"/>
      <c r="D426" s="129"/>
      <c r="E426" s="130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15.75" customHeight="1">
      <c r="A427" s="32"/>
      <c r="B427" s="185" t="s">
        <v>78</v>
      </c>
      <c r="C427" s="186" t="s">
        <v>79</v>
      </c>
      <c r="D427" s="186" t="s">
        <v>215</v>
      </c>
      <c r="E427" s="187" t="s">
        <v>216</v>
      </c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15.75" customHeight="1">
      <c r="A428" s="32"/>
      <c r="B428" s="134" t="s">
        <v>82</v>
      </c>
      <c r="C428" s="135" t="s">
        <v>83</v>
      </c>
      <c r="D428" s="135">
        <v>4</v>
      </c>
      <c r="E428" s="136" t="s">
        <v>198</v>
      </c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15.75" customHeight="1">
      <c r="A429" s="32"/>
      <c r="B429" s="134" t="s">
        <v>85</v>
      </c>
      <c r="C429" s="135" t="s">
        <v>83</v>
      </c>
      <c r="D429" s="135">
        <v>5</v>
      </c>
      <c r="E429" s="136" t="s">
        <v>222</v>
      </c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15.75" customHeight="1">
      <c r="A430" s="32"/>
      <c r="B430" s="134" t="s">
        <v>87</v>
      </c>
      <c r="C430" s="135" t="s">
        <v>83</v>
      </c>
      <c r="D430" s="135">
        <v>4</v>
      </c>
      <c r="E430" s="136" t="s">
        <v>200</v>
      </c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15.75" customHeight="1">
      <c r="A431" s="32"/>
      <c r="B431" s="134" t="s">
        <v>89</v>
      </c>
      <c r="C431" s="135" t="s">
        <v>83</v>
      </c>
      <c r="D431" s="135">
        <v>5</v>
      </c>
      <c r="E431" s="136" t="s">
        <v>201</v>
      </c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15.75" customHeight="1">
      <c r="A432" s="32"/>
      <c r="B432" s="134" t="s">
        <v>91</v>
      </c>
      <c r="C432" s="135" t="s">
        <v>83</v>
      </c>
      <c r="D432" s="135">
        <v>4</v>
      </c>
      <c r="E432" s="136" t="s">
        <v>208</v>
      </c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15.75" customHeight="1">
      <c r="A433" s="32"/>
      <c r="B433" s="134" t="s">
        <v>93</v>
      </c>
      <c r="C433" s="135" t="s">
        <v>94</v>
      </c>
      <c r="D433" s="135">
        <v>3</v>
      </c>
      <c r="E433" s="136" t="s">
        <v>245</v>
      </c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15.75" customHeight="1">
      <c r="A434" s="32"/>
      <c r="B434" s="134" t="s">
        <v>96</v>
      </c>
      <c r="C434" s="135" t="s">
        <v>83</v>
      </c>
      <c r="D434" s="135">
        <v>5</v>
      </c>
      <c r="E434" s="136" t="s">
        <v>204</v>
      </c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15.75" customHeight="1">
      <c r="A435" s="32"/>
      <c r="B435" s="134" t="s">
        <v>98</v>
      </c>
      <c r="C435" s="137" t="s">
        <v>83</v>
      </c>
      <c r="D435" s="137">
        <v>5</v>
      </c>
      <c r="E435" s="138" t="s">
        <v>205</v>
      </c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15.75" customHeight="1">
      <c r="A436" s="32"/>
      <c r="B436" s="128"/>
      <c r="C436" s="135"/>
      <c r="D436" s="135"/>
      <c r="E436" s="139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15.75" customHeight="1">
      <c r="A437" s="32"/>
      <c r="B437" s="140" t="s">
        <v>219</v>
      </c>
      <c r="C437" s="141">
        <f t="shared" si="0"/>
        <v>0.875</v>
      </c>
      <c r="D437" s="188">
        <v>35</v>
      </c>
      <c r="E437" s="143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15.75" customHeight="1">
      <c r="A438" s="32"/>
      <c r="B438" s="128" t="s">
        <v>114</v>
      </c>
      <c r="C438" s="144" t="s">
        <v>246</v>
      </c>
      <c r="E438" s="43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15.75" customHeight="1">
      <c r="A439" s="32"/>
      <c r="B439" s="145"/>
      <c r="C439" s="146"/>
      <c r="D439" s="146"/>
      <c r="E439" s="147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15.75" customHeight="1">
      <c r="A440" s="32"/>
      <c r="B440" s="32"/>
      <c r="C440" s="41"/>
      <c r="D440" s="41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15.75" customHeight="1">
      <c r="A441" s="32"/>
      <c r="B441" s="32"/>
      <c r="C441" s="41"/>
      <c r="D441" s="41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15.75" customHeight="1">
      <c r="A442" s="32"/>
      <c r="B442" s="32"/>
      <c r="C442" s="41"/>
      <c r="D442" s="41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15.75" customHeight="1">
      <c r="A443" s="32"/>
      <c r="B443" s="32"/>
      <c r="C443" s="41"/>
      <c r="D443" s="41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15.75" customHeight="1">
      <c r="A444" s="32"/>
      <c r="B444" s="32"/>
      <c r="C444" s="41"/>
      <c r="D444" s="41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15.75" customHeight="1">
      <c r="A445" s="32"/>
      <c r="B445" s="32"/>
      <c r="C445" s="41"/>
      <c r="D445" s="41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15.75" customHeight="1">
      <c r="A446" s="32"/>
      <c r="B446" s="32"/>
      <c r="C446" s="41"/>
      <c r="D446" s="41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15.75" customHeight="1">
      <c r="A447" s="32"/>
      <c r="B447" s="32"/>
      <c r="C447" s="41"/>
      <c r="D447" s="41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15.75" customHeight="1">
      <c r="A448" s="32"/>
      <c r="B448" s="32"/>
      <c r="C448" s="41"/>
      <c r="D448" s="41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15.75" customHeight="1">
      <c r="A449" s="32"/>
      <c r="B449" s="32"/>
      <c r="C449" s="41"/>
      <c r="D449" s="41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15.75" customHeight="1">
      <c r="A450" s="32"/>
      <c r="B450" s="32"/>
      <c r="C450" s="41"/>
      <c r="D450" s="41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15.75" customHeight="1">
      <c r="A451" s="32"/>
      <c r="B451" s="32"/>
      <c r="C451" s="41"/>
      <c r="D451" s="41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15.75" customHeight="1">
      <c r="A452" s="32"/>
      <c r="B452" s="32"/>
      <c r="C452" s="41"/>
      <c r="D452" s="41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15.75" customHeight="1">
      <c r="A453" s="32"/>
      <c r="B453" s="32"/>
      <c r="C453" s="41"/>
      <c r="D453" s="41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15.75" customHeight="1">
      <c r="A454" s="32"/>
      <c r="B454" s="32"/>
      <c r="C454" s="41"/>
      <c r="D454" s="41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15.75" customHeight="1">
      <c r="A455" s="32"/>
      <c r="B455" s="32"/>
      <c r="C455" s="41"/>
      <c r="D455" s="41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15.75" customHeight="1">
      <c r="A456" s="32"/>
      <c r="B456" s="32"/>
      <c r="C456" s="41"/>
      <c r="D456" s="41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15.75" customHeight="1">
      <c r="A457" s="32"/>
      <c r="B457" s="32"/>
      <c r="C457" s="41"/>
      <c r="D457" s="41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15.75" customHeight="1">
      <c r="A458" s="32"/>
      <c r="B458" s="32"/>
      <c r="C458" s="41"/>
      <c r="D458" s="41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15.75" customHeight="1">
      <c r="A459" s="32"/>
      <c r="B459" s="32"/>
      <c r="C459" s="41"/>
      <c r="D459" s="41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15.75" customHeight="1">
      <c r="A460" s="32"/>
      <c r="B460" s="32"/>
      <c r="C460" s="41"/>
      <c r="D460" s="41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15.75" customHeight="1">
      <c r="A461" s="32"/>
      <c r="B461" s="32"/>
      <c r="C461" s="41"/>
      <c r="D461" s="41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15.75" customHeight="1">
      <c r="A462" s="32"/>
      <c r="B462" s="32"/>
      <c r="C462" s="41"/>
      <c r="D462" s="41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15.75" customHeight="1">
      <c r="A463" s="32"/>
      <c r="B463" s="32"/>
      <c r="C463" s="41"/>
      <c r="D463" s="41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15.75" customHeight="1">
      <c r="A464" s="32"/>
      <c r="B464" s="32"/>
      <c r="C464" s="41"/>
      <c r="D464" s="41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15.75" customHeight="1">
      <c r="A465" s="32"/>
      <c r="B465" s="32"/>
      <c r="C465" s="41"/>
      <c r="D465" s="41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15.75" customHeight="1">
      <c r="A466" s="32"/>
      <c r="B466" s="32"/>
      <c r="C466" s="41"/>
      <c r="D466" s="41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15.75" customHeight="1">
      <c r="A467" s="32"/>
      <c r="B467" s="32"/>
      <c r="C467" s="41"/>
      <c r="D467" s="41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15.75" customHeight="1">
      <c r="A468" s="32"/>
      <c r="B468" s="32"/>
      <c r="C468" s="41"/>
      <c r="D468" s="41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15.75" customHeight="1">
      <c r="A469" s="32"/>
      <c r="B469" s="32"/>
      <c r="C469" s="41"/>
      <c r="D469" s="41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15.75" customHeight="1">
      <c r="A470" s="32"/>
      <c r="B470" s="32"/>
      <c r="C470" s="41"/>
      <c r="D470" s="41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15.75" customHeight="1">
      <c r="A471" s="32"/>
      <c r="B471" s="32"/>
      <c r="C471" s="41"/>
      <c r="D471" s="41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15.75" customHeight="1">
      <c r="A472" s="32"/>
      <c r="B472" s="32"/>
      <c r="C472" s="41"/>
      <c r="D472" s="41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15.75" customHeight="1">
      <c r="A473" s="32"/>
      <c r="B473" s="32"/>
      <c r="C473" s="41"/>
      <c r="D473" s="41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15.75" customHeight="1">
      <c r="A474" s="32"/>
      <c r="B474" s="32"/>
      <c r="C474" s="41"/>
      <c r="D474" s="41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15.75" customHeight="1">
      <c r="A475" s="32"/>
      <c r="B475" s="32"/>
      <c r="C475" s="41"/>
      <c r="D475" s="41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15.75" customHeight="1">
      <c r="A476" s="32"/>
      <c r="B476" s="32"/>
      <c r="C476" s="41"/>
      <c r="D476" s="41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15.75" customHeight="1">
      <c r="A477" s="32"/>
      <c r="B477" s="32"/>
      <c r="C477" s="41"/>
      <c r="D477" s="41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15.75" customHeight="1">
      <c r="A478" s="32"/>
      <c r="B478" s="32"/>
      <c r="C478" s="41"/>
      <c r="D478" s="41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15.75" customHeight="1">
      <c r="A479" s="32"/>
      <c r="B479" s="32"/>
      <c r="C479" s="41"/>
      <c r="D479" s="41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15.75" customHeight="1">
      <c r="A480" s="32"/>
      <c r="B480" s="32"/>
      <c r="C480" s="41"/>
      <c r="D480" s="41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15.75" customHeight="1">
      <c r="A481" s="32"/>
      <c r="B481" s="32"/>
      <c r="C481" s="41"/>
      <c r="D481" s="41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15.75" customHeight="1">
      <c r="A482" s="32"/>
      <c r="B482" s="32"/>
      <c r="C482" s="41"/>
      <c r="D482" s="41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15.75" customHeight="1">
      <c r="A483" s="32"/>
      <c r="B483" s="32"/>
      <c r="C483" s="41"/>
      <c r="D483" s="41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15.75" customHeight="1">
      <c r="A484" s="32"/>
      <c r="B484" s="32"/>
      <c r="C484" s="41"/>
      <c r="D484" s="41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15.75" customHeight="1">
      <c r="A485" s="32"/>
      <c r="B485" s="32"/>
      <c r="C485" s="41"/>
      <c r="D485" s="41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15.75" customHeight="1">
      <c r="A486" s="32"/>
      <c r="B486" s="32"/>
      <c r="C486" s="41"/>
      <c r="D486" s="41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15.75" customHeight="1">
      <c r="A487" s="32"/>
      <c r="B487" s="32"/>
      <c r="C487" s="41"/>
      <c r="D487" s="41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15.75" customHeight="1">
      <c r="A488" s="32"/>
      <c r="B488" s="32"/>
      <c r="C488" s="41"/>
      <c r="D488" s="41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15.75" customHeight="1">
      <c r="A489" s="32"/>
      <c r="B489" s="32"/>
      <c r="C489" s="41"/>
      <c r="D489" s="41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15.75" customHeight="1">
      <c r="A490" s="32"/>
      <c r="B490" s="32"/>
      <c r="C490" s="41"/>
      <c r="D490" s="41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15.75" customHeight="1">
      <c r="A491" s="32"/>
      <c r="B491" s="32"/>
      <c r="C491" s="41"/>
      <c r="D491" s="41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15.75" customHeight="1">
      <c r="A492" s="32"/>
      <c r="B492" s="32"/>
      <c r="C492" s="41"/>
      <c r="D492" s="41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15.75" customHeight="1">
      <c r="A493" s="32"/>
      <c r="B493" s="32"/>
      <c r="C493" s="41"/>
      <c r="D493" s="41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15.75" customHeight="1">
      <c r="A494" s="32"/>
      <c r="B494" s="32"/>
      <c r="C494" s="41"/>
      <c r="D494" s="41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15.75" customHeight="1">
      <c r="A495" s="32"/>
      <c r="B495" s="32"/>
      <c r="C495" s="41"/>
      <c r="D495" s="41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15.75" customHeight="1">
      <c r="A496" s="32"/>
      <c r="B496" s="32"/>
      <c r="C496" s="41"/>
      <c r="D496" s="41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15.75" customHeight="1">
      <c r="A497" s="32"/>
      <c r="B497" s="32"/>
      <c r="C497" s="41"/>
      <c r="D497" s="41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15.75" customHeight="1">
      <c r="A498" s="32"/>
      <c r="B498" s="32"/>
      <c r="C498" s="41"/>
      <c r="D498" s="41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15.75" customHeight="1">
      <c r="A499" s="32"/>
      <c r="B499" s="32"/>
      <c r="C499" s="41"/>
      <c r="D499" s="41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15.75" customHeight="1">
      <c r="A500" s="32"/>
      <c r="B500" s="32"/>
      <c r="C500" s="41"/>
      <c r="D500" s="41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15.75" customHeight="1">
      <c r="A501" s="32"/>
      <c r="B501" s="32"/>
      <c r="C501" s="41"/>
      <c r="D501" s="41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15.75" customHeight="1">
      <c r="A502" s="32"/>
      <c r="B502" s="32"/>
      <c r="C502" s="41"/>
      <c r="D502" s="41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15.75" customHeight="1">
      <c r="A503" s="32"/>
      <c r="B503" s="32"/>
      <c r="C503" s="41"/>
      <c r="D503" s="41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15.75" customHeight="1">
      <c r="A504" s="32"/>
      <c r="B504" s="32"/>
      <c r="C504" s="41"/>
      <c r="D504" s="41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15.75" customHeight="1">
      <c r="A505" s="32"/>
      <c r="B505" s="32"/>
      <c r="C505" s="41"/>
      <c r="D505" s="41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15.75" customHeight="1">
      <c r="A506" s="32"/>
      <c r="B506" s="32"/>
      <c r="C506" s="41"/>
      <c r="D506" s="41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15.75" customHeight="1">
      <c r="A507" s="32"/>
      <c r="B507" s="32"/>
      <c r="C507" s="41"/>
      <c r="D507" s="41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15.75" customHeight="1">
      <c r="A508" s="32"/>
      <c r="B508" s="32"/>
      <c r="C508" s="41"/>
      <c r="D508" s="41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15.75" customHeight="1">
      <c r="A509" s="32"/>
      <c r="B509" s="32"/>
      <c r="C509" s="41"/>
      <c r="D509" s="41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15.75" customHeight="1">
      <c r="A510" s="32"/>
      <c r="B510" s="32"/>
      <c r="C510" s="41"/>
      <c r="D510" s="41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15.75" customHeight="1">
      <c r="A511" s="32"/>
      <c r="B511" s="32"/>
      <c r="C511" s="41"/>
      <c r="D511" s="41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15.75" customHeight="1">
      <c r="A512" s="32"/>
      <c r="B512" s="32"/>
      <c r="C512" s="41"/>
      <c r="D512" s="41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15.75" customHeight="1">
      <c r="A513" s="32"/>
      <c r="B513" s="32"/>
      <c r="C513" s="41"/>
      <c r="D513" s="41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15.75" customHeight="1">
      <c r="A514" s="32"/>
      <c r="B514" s="32"/>
      <c r="C514" s="41"/>
      <c r="D514" s="41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15.75" customHeight="1">
      <c r="A515" s="32"/>
      <c r="B515" s="32"/>
      <c r="C515" s="41"/>
      <c r="D515" s="41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15.75" customHeight="1">
      <c r="A516" s="32"/>
      <c r="B516" s="32"/>
      <c r="C516" s="41"/>
      <c r="D516" s="41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15.75" customHeight="1">
      <c r="A517" s="32"/>
      <c r="B517" s="32"/>
      <c r="C517" s="41"/>
      <c r="D517" s="41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15.75" customHeight="1">
      <c r="A518" s="32"/>
      <c r="B518" s="32"/>
      <c r="C518" s="41"/>
      <c r="D518" s="41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15.75" customHeight="1">
      <c r="A519" s="32"/>
      <c r="B519" s="32"/>
      <c r="C519" s="41"/>
      <c r="D519" s="41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15.75" customHeight="1">
      <c r="A520" s="32"/>
      <c r="B520" s="32"/>
      <c r="C520" s="41"/>
      <c r="D520" s="41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15.75" customHeight="1">
      <c r="A521" s="32"/>
      <c r="B521" s="32"/>
      <c r="C521" s="41"/>
      <c r="D521" s="41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15.75" customHeight="1">
      <c r="A522" s="32"/>
      <c r="B522" s="32"/>
      <c r="C522" s="41"/>
      <c r="D522" s="41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15.75" customHeight="1">
      <c r="A523" s="32"/>
      <c r="B523" s="32"/>
      <c r="C523" s="41"/>
      <c r="D523" s="41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15.75" customHeight="1">
      <c r="A524" s="32"/>
      <c r="B524" s="32"/>
      <c r="C524" s="41"/>
      <c r="D524" s="41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15.75" customHeight="1">
      <c r="A525" s="32"/>
      <c r="B525" s="32"/>
      <c r="C525" s="41"/>
      <c r="D525" s="41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15.75" customHeight="1">
      <c r="A526" s="32"/>
      <c r="B526" s="32"/>
      <c r="C526" s="41"/>
      <c r="D526" s="41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15.75" customHeight="1">
      <c r="A527" s="32"/>
      <c r="B527" s="32"/>
      <c r="C527" s="41"/>
      <c r="D527" s="41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15.75" customHeight="1">
      <c r="A528" s="32"/>
      <c r="B528" s="32"/>
      <c r="C528" s="41"/>
      <c r="D528" s="41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15.75" customHeight="1">
      <c r="A529" s="32"/>
      <c r="B529" s="32"/>
      <c r="C529" s="41"/>
      <c r="D529" s="41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15.75" customHeight="1">
      <c r="A530" s="32"/>
      <c r="B530" s="32"/>
      <c r="C530" s="41"/>
      <c r="D530" s="41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15.75" customHeight="1">
      <c r="A531" s="32"/>
      <c r="B531" s="32"/>
      <c r="C531" s="41"/>
      <c r="D531" s="41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15.75" customHeight="1">
      <c r="A532" s="32"/>
      <c r="B532" s="32"/>
      <c r="C532" s="41"/>
      <c r="D532" s="41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15.75" customHeight="1">
      <c r="A533" s="32"/>
      <c r="B533" s="32"/>
      <c r="C533" s="41"/>
      <c r="D533" s="41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15.75" customHeight="1">
      <c r="A534" s="32"/>
      <c r="B534" s="32"/>
      <c r="C534" s="41"/>
      <c r="D534" s="41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15.75" customHeight="1">
      <c r="A535" s="32"/>
      <c r="B535" s="32"/>
      <c r="C535" s="41"/>
      <c r="D535" s="41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15.75" customHeight="1">
      <c r="A536" s="32"/>
      <c r="B536" s="32"/>
      <c r="C536" s="41"/>
      <c r="D536" s="41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15.75" customHeight="1">
      <c r="A537" s="32"/>
      <c r="B537" s="32"/>
      <c r="C537" s="41"/>
      <c r="D537" s="41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15.75" customHeight="1">
      <c r="A538" s="32"/>
      <c r="B538" s="32"/>
      <c r="C538" s="41"/>
      <c r="D538" s="41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15.75" customHeight="1">
      <c r="A539" s="32"/>
      <c r="B539" s="32"/>
      <c r="C539" s="41"/>
      <c r="D539" s="41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15.75" customHeight="1">
      <c r="A540" s="32"/>
      <c r="B540" s="32"/>
      <c r="C540" s="41"/>
      <c r="D540" s="41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15.75" customHeight="1">
      <c r="A541" s="32"/>
      <c r="B541" s="32"/>
      <c r="C541" s="41"/>
      <c r="D541" s="41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15.75" customHeight="1">
      <c r="A542" s="32"/>
      <c r="B542" s="32"/>
      <c r="C542" s="41"/>
      <c r="D542" s="41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15.75" customHeight="1">
      <c r="A543" s="32"/>
      <c r="B543" s="32"/>
      <c r="C543" s="41"/>
      <c r="D543" s="41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15.75" customHeight="1">
      <c r="A544" s="32"/>
      <c r="B544" s="32"/>
      <c r="C544" s="41"/>
      <c r="D544" s="41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15.75" customHeight="1">
      <c r="A545" s="32"/>
      <c r="B545" s="32"/>
      <c r="C545" s="41"/>
      <c r="D545" s="41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15.75" customHeight="1">
      <c r="A546" s="32"/>
      <c r="B546" s="32"/>
      <c r="C546" s="41"/>
      <c r="D546" s="41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15.75" customHeight="1">
      <c r="A547" s="32"/>
      <c r="B547" s="32"/>
      <c r="C547" s="41"/>
      <c r="D547" s="41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15.75" customHeight="1">
      <c r="A548" s="32"/>
      <c r="B548" s="32"/>
      <c r="C548" s="41"/>
      <c r="D548" s="41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15.75" customHeight="1">
      <c r="A549" s="32"/>
      <c r="B549" s="32"/>
      <c r="C549" s="41"/>
      <c r="D549" s="41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15.75" customHeight="1">
      <c r="A550" s="32"/>
      <c r="B550" s="32"/>
      <c r="C550" s="41"/>
      <c r="D550" s="41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15.75" customHeight="1">
      <c r="A551" s="32"/>
      <c r="B551" s="32"/>
      <c r="C551" s="41"/>
      <c r="D551" s="41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15.75" customHeight="1">
      <c r="A552" s="32"/>
      <c r="B552" s="32"/>
      <c r="C552" s="41"/>
      <c r="D552" s="41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15.75" customHeight="1">
      <c r="A553" s="32"/>
      <c r="B553" s="32"/>
      <c r="C553" s="41"/>
      <c r="D553" s="41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15.75" customHeight="1">
      <c r="A554" s="32"/>
      <c r="B554" s="32"/>
      <c r="C554" s="41"/>
      <c r="D554" s="41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15.75" customHeight="1">
      <c r="A555" s="32"/>
      <c r="B555" s="32"/>
      <c r="C555" s="41"/>
      <c r="D555" s="41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15.75" customHeight="1">
      <c r="A556" s="32"/>
      <c r="B556" s="32"/>
      <c r="C556" s="41"/>
      <c r="D556" s="41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15.75" customHeight="1">
      <c r="A557" s="32"/>
      <c r="B557" s="32"/>
      <c r="C557" s="41"/>
      <c r="D557" s="41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15.75" customHeight="1">
      <c r="A558" s="32"/>
      <c r="B558" s="32"/>
      <c r="C558" s="41"/>
      <c r="D558" s="41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15.75" customHeight="1">
      <c r="A559" s="32"/>
      <c r="B559" s="32"/>
      <c r="C559" s="41"/>
      <c r="D559" s="41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15.75" customHeight="1">
      <c r="A560" s="32"/>
      <c r="B560" s="32"/>
      <c r="C560" s="41"/>
      <c r="D560" s="41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15.75" customHeight="1">
      <c r="A561" s="32"/>
      <c r="B561" s="32"/>
      <c r="C561" s="41"/>
      <c r="D561" s="41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15.75" customHeight="1">
      <c r="A562" s="32"/>
      <c r="B562" s="32"/>
      <c r="C562" s="41"/>
      <c r="D562" s="41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15.75" customHeight="1">
      <c r="A563" s="32"/>
      <c r="B563" s="32"/>
      <c r="C563" s="41"/>
      <c r="D563" s="41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15.75" customHeight="1">
      <c r="A564" s="32"/>
      <c r="B564" s="32"/>
      <c r="C564" s="41"/>
      <c r="D564" s="41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15.75" customHeight="1">
      <c r="A565" s="32"/>
      <c r="B565" s="32"/>
      <c r="C565" s="41"/>
      <c r="D565" s="41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15.75" customHeight="1">
      <c r="A566" s="32"/>
      <c r="B566" s="32"/>
      <c r="C566" s="41"/>
      <c r="D566" s="41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15.75" customHeight="1">
      <c r="A567" s="32"/>
      <c r="B567" s="32"/>
      <c r="C567" s="41"/>
      <c r="D567" s="41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15.75" customHeight="1">
      <c r="A568" s="32"/>
      <c r="B568" s="32"/>
      <c r="C568" s="41"/>
      <c r="D568" s="41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15.75" customHeight="1">
      <c r="A569" s="32"/>
      <c r="B569" s="32"/>
      <c r="C569" s="41"/>
      <c r="D569" s="41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15.75" customHeight="1">
      <c r="A570" s="32"/>
      <c r="B570" s="32"/>
      <c r="C570" s="41"/>
      <c r="D570" s="41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15.75" customHeight="1">
      <c r="A571" s="32"/>
      <c r="B571" s="32"/>
      <c r="C571" s="41"/>
      <c r="D571" s="41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15.75" customHeight="1">
      <c r="A572" s="32"/>
      <c r="B572" s="32"/>
      <c r="C572" s="41"/>
      <c r="D572" s="41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15.75" customHeight="1">
      <c r="A573" s="32"/>
      <c r="B573" s="32"/>
      <c r="C573" s="41"/>
      <c r="D573" s="41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15.75" customHeight="1">
      <c r="A574" s="32"/>
      <c r="B574" s="32"/>
      <c r="C574" s="41"/>
      <c r="D574" s="41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15.75" customHeight="1">
      <c r="A575" s="32"/>
      <c r="B575" s="32"/>
      <c r="C575" s="41"/>
      <c r="D575" s="41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15.75" customHeight="1">
      <c r="A576" s="32"/>
      <c r="B576" s="32"/>
      <c r="C576" s="41"/>
      <c r="D576" s="41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15.75" customHeight="1">
      <c r="A577" s="32"/>
      <c r="B577" s="32"/>
      <c r="C577" s="41"/>
      <c r="D577" s="41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15.75" customHeight="1">
      <c r="A578" s="32"/>
      <c r="B578" s="32"/>
      <c r="C578" s="41"/>
      <c r="D578" s="41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15.75" customHeight="1">
      <c r="A579" s="32"/>
      <c r="B579" s="32"/>
      <c r="C579" s="41"/>
      <c r="D579" s="41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15.75" customHeight="1">
      <c r="A580" s="32"/>
      <c r="B580" s="32"/>
      <c r="C580" s="41"/>
      <c r="D580" s="41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15.75" customHeight="1">
      <c r="A581" s="32"/>
      <c r="B581" s="32"/>
      <c r="C581" s="41"/>
      <c r="D581" s="41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15.75" customHeight="1">
      <c r="A582" s="32"/>
      <c r="B582" s="32"/>
      <c r="C582" s="41"/>
      <c r="D582" s="41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15.75" customHeight="1">
      <c r="A583" s="32"/>
      <c r="B583" s="32"/>
      <c r="C583" s="41"/>
      <c r="D583" s="41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15.75" customHeight="1">
      <c r="A584" s="32"/>
      <c r="B584" s="32"/>
      <c r="C584" s="41"/>
      <c r="D584" s="41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15.75" customHeight="1">
      <c r="A585" s="32"/>
      <c r="B585" s="32"/>
      <c r="C585" s="41"/>
      <c r="D585" s="41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15.75" customHeight="1">
      <c r="A586" s="32"/>
      <c r="B586" s="32"/>
      <c r="C586" s="41"/>
      <c r="D586" s="41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15.75" customHeight="1">
      <c r="A587" s="32"/>
      <c r="B587" s="32"/>
      <c r="C587" s="41"/>
      <c r="D587" s="41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15.75" customHeight="1">
      <c r="A588" s="32"/>
      <c r="B588" s="32"/>
      <c r="C588" s="41"/>
      <c r="D588" s="41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15.75" customHeight="1">
      <c r="A589" s="32"/>
      <c r="B589" s="32"/>
      <c r="C589" s="41"/>
      <c r="D589" s="41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15.75" customHeight="1">
      <c r="A590" s="32"/>
      <c r="B590" s="32"/>
      <c r="C590" s="41"/>
      <c r="D590" s="41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15.75" customHeight="1">
      <c r="A591" s="32"/>
      <c r="B591" s="32"/>
      <c r="C591" s="41"/>
      <c r="D591" s="41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15.75" customHeight="1">
      <c r="A592" s="32"/>
      <c r="B592" s="32"/>
      <c r="C592" s="41"/>
      <c r="D592" s="41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15.75" customHeight="1">
      <c r="A593" s="32"/>
      <c r="B593" s="32"/>
      <c r="C593" s="41"/>
      <c r="D593" s="41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15.75" customHeight="1">
      <c r="A594" s="32"/>
      <c r="B594" s="32"/>
      <c r="C594" s="41"/>
      <c r="D594" s="41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15.75" customHeight="1">
      <c r="A595" s="32"/>
      <c r="B595" s="32"/>
      <c r="C595" s="41"/>
      <c r="D595" s="41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15.75" customHeight="1">
      <c r="A596" s="32"/>
      <c r="B596" s="32"/>
      <c r="C596" s="41"/>
      <c r="D596" s="41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15.75" customHeight="1">
      <c r="A597" s="32"/>
      <c r="B597" s="32"/>
      <c r="C597" s="41"/>
      <c r="D597" s="41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15.75" customHeight="1">
      <c r="A598" s="32"/>
      <c r="B598" s="32"/>
      <c r="C598" s="41"/>
      <c r="D598" s="41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15.75" customHeight="1">
      <c r="A599" s="32"/>
      <c r="B599" s="32"/>
      <c r="C599" s="41"/>
      <c r="D599" s="41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15.75" customHeight="1">
      <c r="A600" s="32"/>
      <c r="B600" s="32"/>
      <c r="C600" s="41"/>
      <c r="D600" s="41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15.75" customHeight="1">
      <c r="A601" s="32"/>
      <c r="B601" s="32"/>
      <c r="C601" s="41"/>
      <c r="D601" s="41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15.75" customHeight="1">
      <c r="A602" s="32"/>
      <c r="B602" s="32"/>
      <c r="C602" s="41"/>
      <c r="D602" s="41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15.75" customHeight="1">
      <c r="A603" s="32"/>
      <c r="B603" s="32"/>
      <c r="C603" s="41"/>
      <c r="D603" s="41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15.75" customHeight="1">
      <c r="A604" s="32"/>
      <c r="B604" s="32"/>
      <c r="C604" s="41"/>
      <c r="D604" s="41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15.75" customHeight="1">
      <c r="A605" s="32"/>
      <c r="B605" s="32"/>
      <c r="C605" s="41"/>
      <c r="D605" s="41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15.75" customHeight="1">
      <c r="A606" s="32"/>
      <c r="B606" s="32"/>
      <c r="C606" s="41"/>
      <c r="D606" s="41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15.75" customHeight="1">
      <c r="A607" s="32"/>
      <c r="B607" s="32"/>
      <c r="C607" s="41"/>
      <c r="D607" s="41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15.75" customHeight="1">
      <c r="A608" s="32"/>
      <c r="B608" s="32"/>
      <c r="C608" s="41"/>
      <c r="D608" s="41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15.75" customHeight="1">
      <c r="A609" s="32"/>
      <c r="B609" s="32"/>
      <c r="C609" s="41"/>
      <c r="D609" s="41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15.75" customHeight="1">
      <c r="A610" s="32"/>
      <c r="B610" s="32"/>
      <c r="C610" s="41"/>
      <c r="D610" s="41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15.75" customHeight="1">
      <c r="A611" s="32"/>
      <c r="B611" s="32"/>
      <c r="C611" s="41"/>
      <c r="D611" s="41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15.75" customHeight="1">
      <c r="A612" s="32"/>
      <c r="B612" s="32"/>
      <c r="C612" s="41"/>
      <c r="D612" s="41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15.75" customHeight="1">
      <c r="A613" s="32"/>
      <c r="B613" s="32"/>
      <c r="C613" s="41"/>
      <c r="D613" s="41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15.75" customHeight="1">
      <c r="A614" s="32"/>
      <c r="B614" s="32"/>
      <c r="C614" s="41"/>
      <c r="D614" s="41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15.75" customHeight="1">
      <c r="A615" s="32"/>
      <c r="B615" s="32"/>
      <c r="C615" s="41"/>
      <c r="D615" s="41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15.75" customHeight="1">
      <c r="A616" s="32"/>
      <c r="B616" s="32"/>
      <c r="C616" s="41"/>
      <c r="D616" s="41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15.75" customHeight="1">
      <c r="A617" s="32"/>
      <c r="B617" s="32"/>
      <c r="C617" s="41"/>
      <c r="D617" s="41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15.75" customHeight="1">
      <c r="A618" s="32"/>
      <c r="B618" s="32"/>
      <c r="C618" s="41"/>
      <c r="D618" s="41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15.75" customHeight="1">
      <c r="A619" s="32"/>
      <c r="B619" s="32"/>
      <c r="C619" s="41"/>
      <c r="D619" s="41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15.75" customHeight="1">
      <c r="A620" s="32"/>
      <c r="B620" s="32"/>
      <c r="C620" s="41"/>
      <c r="D620" s="41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15.75" customHeight="1">
      <c r="A621" s="32"/>
      <c r="B621" s="32"/>
      <c r="C621" s="41"/>
      <c r="D621" s="41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15.75" customHeight="1">
      <c r="A622" s="32"/>
      <c r="B622" s="32"/>
      <c r="C622" s="41"/>
      <c r="D622" s="41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15.75" customHeight="1">
      <c r="A623" s="32"/>
      <c r="B623" s="32"/>
      <c r="C623" s="41"/>
      <c r="D623" s="41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15.75" customHeight="1">
      <c r="A624" s="32"/>
      <c r="B624" s="32"/>
      <c r="C624" s="41"/>
      <c r="D624" s="41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15.75" customHeight="1">
      <c r="A625" s="32"/>
      <c r="B625" s="32"/>
      <c r="C625" s="41"/>
      <c r="D625" s="41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15.75" customHeight="1">
      <c r="A626" s="32"/>
      <c r="B626" s="32"/>
      <c r="C626" s="41"/>
      <c r="D626" s="41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15.75" customHeight="1">
      <c r="A627" s="32"/>
      <c r="B627" s="32"/>
      <c r="C627" s="41"/>
      <c r="D627" s="41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15.75" customHeight="1">
      <c r="A628" s="32"/>
      <c r="B628" s="32"/>
      <c r="C628" s="41"/>
      <c r="D628" s="41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15.75" customHeight="1">
      <c r="A629" s="32"/>
      <c r="B629" s="32"/>
      <c r="C629" s="41"/>
      <c r="D629" s="41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15.75" customHeight="1">
      <c r="A630" s="32"/>
      <c r="B630" s="32"/>
      <c r="C630" s="41"/>
      <c r="D630" s="41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15.75" customHeight="1">
      <c r="A631" s="32"/>
      <c r="B631" s="32"/>
      <c r="C631" s="41"/>
      <c r="D631" s="41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15.75" customHeight="1">
      <c r="A632" s="32"/>
      <c r="B632" s="32"/>
      <c r="C632" s="41"/>
      <c r="D632" s="41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15.75" customHeight="1">
      <c r="A633" s="32"/>
      <c r="B633" s="32"/>
      <c r="C633" s="41"/>
      <c r="D633" s="41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15.75" customHeight="1">
      <c r="A634" s="32"/>
      <c r="B634" s="32"/>
      <c r="C634" s="41"/>
      <c r="D634" s="41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15.75" customHeight="1">
      <c r="A635" s="32"/>
      <c r="B635" s="32"/>
      <c r="C635" s="41"/>
      <c r="D635" s="41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15.75" customHeight="1">
      <c r="A636" s="32"/>
      <c r="B636" s="32"/>
      <c r="C636" s="41"/>
      <c r="D636" s="41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15.75" customHeight="1">
      <c r="A637" s="32"/>
      <c r="B637" s="32"/>
      <c r="C637" s="41"/>
      <c r="D637" s="41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15.75" customHeight="1">
      <c r="A638" s="32"/>
      <c r="B638" s="32"/>
      <c r="C638" s="41"/>
      <c r="D638" s="41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C218:E218"/>
    <mergeCell ref="B223:E223"/>
    <mergeCell ref="C225:E225"/>
    <mergeCell ref="C226:E226"/>
    <mergeCell ref="C227:E227"/>
    <mergeCell ref="C240:E240"/>
    <mergeCell ref="B245:E245"/>
    <mergeCell ref="C247:E247"/>
    <mergeCell ref="C248:E248"/>
    <mergeCell ref="C249:E249"/>
    <mergeCell ref="C262:E262"/>
    <mergeCell ref="B267:E267"/>
    <mergeCell ref="C269:E269"/>
    <mergeCell ref="C270:E270"/>
    <mergeCell ref="C271:E271"/>
    <mergeCell ref="C284:E284"/>
    <mergeCell ref="B289:E289"/>
    <mergeCell ref="C291:E291"/>
    <mergeCell ref="C292:E292"/>
    <mergeCell ref="C293:E293"/>
    <mergeCell ref="C306:E306"/>
    <mergeCell ref="B311:E311"/>
    <mergeCell ref="C313:E313"/>
    <mergeCell ref="C314:E314"/>
    <mergeCell ref="C315:E315"/>
    <mergeCell ref="C328:E328"/>
    <mergeCell ref="B333:E333"/>
    <mergeCell ref="C335:E335"/>
    <mergeCell ref="C336:E336"/>
    <mergeCell ref="C337:E337"/>
    <mergeCell ref="C350:E350"/>
    <mergeCell ref="B355:E355"/>
    <mergeCell ref="C357:E357"/>
    <mergeCell ref="C358:E358"/>
    <mergeCell ref="C359:E359"/>
    <mergeCell ref="C372:E372"/>
    <mergeCell ref="B377:E377"/>
    <mergeCell ref="C379:E379"/>
    <mergeCell ref="C380:E380"/>
    <mergeCell ref="C381:E381"/>
    <mergeCell ref="C394:E394"/>
    <mergeCell ref="B399:E399"/>
    <mergeCell ref="C425:E425"/>
    <mergeCell ref="C438:E438"/>
    <mergeCell ref="C401:E401"/>
    <mergeCell ref="C402:E402"/>
    <mergeCell ref="C403:E403"/>
    <mergeCell ref="C416:E416"/>
    <mergeCell ref="B421:E421"/>
    <mergeCell ref="C423:E423"/>
    <mergeCell ref="C424:E424"/>
    <mergeCell ref="B3:E3"/>
    <mergeCell ref="C5:E5"/>
    <mergeCell ref="C6:E6"/>
    <mergeCell ref="C7:E7"/>
    <mergeCell ref="B20:E20"/>
    <mergeCell ref="B25:E25"/>
    <mergeCell ref="C27:E27"/>
    <mergeCell ref="C28:E28"/>
    <mergeCell ref="C29:E29"/>
    <mergeCell ref="C42:E42"/>
    <mergeCell ref="B47:E47"/>
    <mergeCell ref="C49:E49"/>
    <mergeCell ref="C50:E50"/>
    <mergeCell ref="C51:E51"/>
    <mergeCell ref="C64:E64"/>
    <mergeCell ref="B69:E69"/>
    <mergeCell ref="C71:E71"/>
    <mergeCell ref="C72:E72"/>
    <mergeCell ref="C73:E73"/>
    <mergeCell ref="C86:E86"/>
    <mergeCell ref="B91:E91"/>
    <mergeCell ref="C93:E93"/>
    <mergeCell ref="C94:E94"/>
    <mergeCell ref="C95:E95"/>
    <mergeCell ref="C108:E108"/>
    <mergeCell ref="B113:E113"/>
    <mergeCell ref="C115:E115"/>
    <mergeCell ref="C116:E116"/>
    <mergeCell ref="C117:E117"/>
    <mergeCell ref="C130:E130"/>
    <mergeCell ref="B135:E135"/>
    <mergeCell ref="C137:E137"/>
    <mergeCell ref="C138:E138"/>
    <mergeCell ref="C139:E139"/>
    <mergeCell ref="C152:E152"/>
    <mergeCell ref="B157:E157"/>
    <mergeCell ref="C159:E159"/>
    <mergeCell ref="C160:E160"/>
    <mergeCell ref="C161:E161"/>
    <mergeCell ref="C174:E174"/>
    <mergeCell ref="B179:E179"/>
    <mergeCell ref="C181:E181"/>
    <mergeCell ref="C182:E182"/>
    <mergeCell ref="C183:E183"/>
    <mergeCell ref="C196:E196"/>
    <mergeCell ref="B201:E201"/>
    <mergeCell ref="C203:E203"/>
    <mergeCell ref="C204:E204"/>
    <mergeCell ref="C205:E205"/>
  </mergeCells>
  <printOptions/>
  <pageMargins left="0.75" right="0.75" top="1" bottom="1" header="0" footer="0"/>
  <pageSetup paperSize="1" pageOrder="downThenOver" orientation="landscape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DC5DBE2-4DA0-4FD8-9AE4-5E03375B3218}" mc:Ignorable="x14ac xr xr2 xr3">
  <dimension ref="A1:U1000"/>
  <sheetViews>
    <sheetView topLeftCell="A1" workbookViewId="0">
      <selection activeCell="A1" sqref="A1"/>
    </sheetView>
  </sheetViews>
  <sheetFormatPr defaultRowHeight="15" defaultColWidth="14.421875" customHeight="1"/>
  <cols>
    <col min="1" max="1" width="5.140625" customWidth="1"/>
    <col min="2" max="2" width="36.57421875" customWidth="1"/>
    <col min="3" max="3" width="20.421875" customWidth="1"/>
    <col min="4" max="4" width="33.7109375" customWidth="1"/>
    <col min="5" max="5" width="8.7109375" customWidth="1"/>
    <col min="6" max="6" width="26.140625" customWidth="1"/>
    <col min="7" max="7" width="16.421875" customWidth="1"/>
    <col min="8" max="8" width="13.7109375" customWidth="1"/>
    <col min="9" max="9" width="26.140625" customWidth="1"/>
    <col min="10" max="21" width="8.7109375" customWidth="1"/>
  </cols>
  <sheetData>
    <row r="1" ht="15" customHeight="1">
      <c r="A1" s="39"/>
      <c r="B1" s="39"/>
      <c r="C1" s="39"/>
      <c r="D1" s="39"/>
      <c r="E1" s="32"/>
      <c r="F1" s="1"/>
      <c r="G1" s="1"/>
      <c r="H1" s="1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</row>
    <row r="2" ht="15" customHeight="1">
      <c r="A2" s="39"/>
      <c r="B2" s="189"/>
      <c r="C2" s="190"/>
      <c r="D2" s="191"/>
      <c r="E2" s="32"/>
      <c r="F2" s="192"/>
      <c r="G2" s="192"/>
      <c r="H2" s="192"/>
      <c r="I2" s="19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</row>
    <row r="3" ht="15" customHeight="1">
      <c r="A3" s="39"/>
      <c r="B3" s="193" t="s">
        <v>247</v>
      </c>
      <c r="C3" s="37"/>
      <c r="D3" s="194"/>
      <c r="E3" s="32"/>
      <c r="F3" s="39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</row>
    <row r="4" ht="15" customHeight="1">
      <c r="A4" s="32"/>
      <c r="B4" s="195"/>
      <c r="C4" s="41"/>
      <c r="D4" s="196"/>
      <c r="E4" s="32"/>
      <c r="F4" s="32"/>
      <c r="G4" s="41"/>
      <c r="H4" s="41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</row>
    <row r="5" ht="15" customHeight="1">
      <c r="A5" s="32"/>
      <c r="B5" s="195" t="s">
        <v>75</v>
      </c>
      <c r="C5" s="41"/>
      <c r="D5" s="20"/>
      <c r="E5" s="32"/>
      <c r="F5" s="32"/>
      <c r="G5" s="4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</row>
    <row r="6" ht="15" customHeight="1">
      <c r="A6" s="32"/>
      <c r="B6" s="195" t="s">
        <v>76</v>
      </c>
      <c r="C6" s="41"/>
      <c r="D6" s="20"/>
      <c r="E6" s="32"/>
      <c r="F6" s="32"/>
      <c r="G6" s="41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</row>
    <row r="7" ht="15" customHeight="1">
      <c r="A7" s="32"/>
      <c r="B7" s="195" t="s">
        <v>77</v>
      </c>
      <c r="C7" s="41"/>
      <c r="D7" s="20"/>
      <c r="E7" s="32"/>
      <c r="F7" s="32"/>
      <c r="G7" s="41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</row>
    <row r="8" ht="15" customHeight="1">
      <c r="A8" s="32"/>
      <c r="B8" s="195" t="s">
        <v>248</v>
      </c>
      <c r="C8" s="41"/>
      <c r="D8" s="196"/>
      <c r="E8" s="32"/>
      <c r="F8" s="32"/>
      <c r="G8" s="41"/>
      <c r="H8" s="41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</row>
    <row r="9" ht="15" customHeight="1">
      <c r="A9" s="32"/>
      <c r="B9" s="195"/>
      <c r="C9" s="41"/>
      <c r="D9" s="196"/>
      <c r="E9" s="32"/>
      <c r="F9" s="49"/>
      <c r="G9" s="49"/>
      <c r="H9" s="49"/>
      <c r="I9" s="49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</row>
    <row r="10" ht="15" customHeight="1">
      <c r="A10" s="49"/>
      <c r="B10" s="197" t="s">
        <v>78</v>
      </c>
      <c r="C10" s="198" t="s">
        <v>249</v>
      </c>
      <c r="D10" s="199" t="s">
        <v>81</v>
      </c>
      <c r="E10" s="32"/>
      <c r="F10" s="32"/>
      <c r="G10" s="41"/>
      <c r="H10" s="41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</row>
    <row r="11" ht="15" customHeight="1">
      <c r="A11" s="32"/>
      <c r="B11" s="200" t="s">
        <v>250</v>
      </c>
      <c r="C11" s="51">
        <v>5</v>
      </c>
      <c r="D11" s="201" t="s">
        <v>251</v>
      </c>
      <c r="E11" s="32"/>
      <c r="F11" s="32"/>
      <c r="G11" s="41"/>
      <c r="H11" s="41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</row>
    <row r="12" ht="15" customHeight="1">
      <c r="A12" s="32"/>
      <c r="B12" s="200" t="s">
        <v>252</v>
      </c>
      <c r="C12" s="51">
        <v>5</v>
      </c>
      <c r="D12" s="201" t="s">
        <v>251</v>
      </c>
      <c r="E12" s="32"/>
      <c r="F12" s="32"/>
      <c r="G12" s="41"/>
      <c r="H12" s="41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</row>
    <row r="13" ht="15" customHeight="1">
      <c r="A13" s="32"/>
      <c r="B13" s="200" t="s">
        <v>253</v>
      </c>
      <c r="C13" s="51">
        <v>4</v>
      </c>
      <c r="D13" s="201" t="s">
        <v>254</v>
      </c>
      <c r="E13" s="32"/>
      <c r="F13" s="32"/>
      <c r="G13" s="41"/>
      <c r="H13" s="41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</row>
    <row r="14" ht="15" customHeight="1">
      <c r="A14" s="32"/>
      <c r="B14" s="200" t="s">
        <v>255</v>
      </c>
      <c r="C14" s="51">
        <v>5</v>
      </c>
      <c r="D14" s="201" t="s">
        <v>251</v>
      </c>
      <c r="E14" s="32"/>
      <c r="F14" s="32"/>
      <c r="G14" s="41"/>
      <c r="H14" s="41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</row>
    <row r="15" ht="15" customHeight="1">
      <c r="A15" s="32"/>
      <c r="B15" s="200" t="s">
        <v>256</v>
      </c>
      <c r="C15" s="51">
        <v>4</v>
      </c>
      <c r="D15" s="201" t="s">
        <v>257</v>
      </c>
      <c r="E15" s="32"/>
      <c r="F15" s="32"/>
      <c r="G15" s="41"/>
      <c r="H15" s="41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</row>
    <row r="16" ht="15" customHeight="1">
      <c r="A16" s="32"/>
      <c r="B16" s="200" t="s">
        <v>258</v>
      </c>
      <c r="C16" s="51">
        <v>4</v>
      </c>
      <c r="D16" s="201" t="s">
        <v>259</v>
      </c>
      <c r="E16" s="32"/>
      <c r="F16" s="32"/>
      <c r="G16" s="41"/>
      <c r="H16" s="41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</row>
    <row r="17" ht="15" customHeight="1">
      <c r="A17" s="32"/>
      <c r="B17" s="200" t="s">
        <v>260</v>
      </c>
      <c r="C17" s="51">
        <v>4</v>
      </c>
      <c r="D17" s="201" t="s">
        <v>261</v>
      </c>
      <c r="E17" s="32"/>
      <c r="F17" s="32"/>
      <c r="G17" s="41"/>
      <c r="H17" s="41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</row>
    <row r="18" ht="15" customHeight="1">
      <c r="A18" s="32"/>
      <c r="B18" s="200" t="s">
        <v>262</v>
      </c>
      <c r="C18" s="51">
        <v>4</v>
      </c>
      <c r="D18" s="201" t="s">
        <v>263</v>
      </c>
      <c r="E18" s="32"/>
      <c r="F18" s="32"/>
      <c r="G18" s="41"/>
      <c r="H18" s="41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</row>
    <row r="19" ht="15" customHeight="1">
      <c r="A19" s="32"/>
      <c r="B19" s="200" t="s">
        <v>264</v>
      </c>
      <c r="C19" s="51">
        <v>5</v>
      </c>
      <c r="D19" s="201" t="s">
        <v>265</v>
      </c>
      <c r="E19" s="32"/>
      <c r="F19" s="59"/>
      <c r="G19" s="202"/>
      <c r="H19" s="41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</row>
    <row r="20" ht="15" customHeight="1">
      <c r="A20" s="32"/>
      <c r="B20" s="200" t="s">
        <v>266</v>
      </c>
      <c r="C20" s="51">
        <v>5</v>
      </c>
      <c r="D20" s="201" t="s">
        <v>267</v>
      </c>
      <c r="E20" s="32"/>
      <c r="F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</row>
    <row r="21" ht="15.75" customHeight="1">
      <c r="A21" s="59"/>
      <c r="B21" s="203" t="s">
        <v>268</v>
      </c>
      <c r="C21" s="204">
        <f t="shared" si="0" ref="C21:C458">SUM(C11:C20)/10</f>
        <v>4.5</v>
      </c>
      <c r="D21" s="201"/>
      <c r="E21" s="32"/>
      <c r="F21" s="32"/>
      <c r="G21" s="41"/>
      <c r="H21" s="41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</row>
    <row r="22" ht="15.75" customHeight="1">
      <c r="A22" s="32"/>
      <c r="B22" s="205"/>
      <c r="C22" s="206"/>
      <c r="D22" s="207"/>
      <c r="E22" s="32"/>
      <c r="F22" s="32"/>
      <c r="G22" s="41"/>
      <c r="H22" s="41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</row>
    <row r="23" ht="15.75" customHeight="1">
      <c r="A23" s="32"/>
      <c r="B23" s="32"/>
      <c r="C23" s="41"/>
      <c r="D23" s="32"/>
      <c r="E23" s="32"/>
      <c r="F23" s="32"/>
      <c r="G23" s="41"/>
      <c r="H23" s="41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</row>
    <row r="24" ht="15.75" customHeight="1">
      <c r="A24" s="32"/>
      <c r="B24" s="32"/>
      <c r="C24" s="41"/>
      <c r="D24" s="32"/>
      <c r="E24" s="32"/>
      <c r="F24" s="39"/>
      <c r="G24" s="39"/>
      <c r="H24" s="39"/>
      <c r="I24" s="39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</row>
    <row r="25" ht="15.75" customHeight="1">
      <c r="A25" s="32"/>
      <c r="B25" s="208"/>
      <c r="C25" s="209"/>
      <c r="D25" s="210"/>
      <c r="E25" s="32"/>
      <c r="F25" s="39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</row>
    <row r="26" ht="15.75" customHeight="1">
      <c r="A26" s="39"/>
      <c r="B26" s="211" t="s">
        <v>269</v>
      </c>
      <c r="C26" s="37"/>
      <c r="D26" s="194"/>
      <c r="E26" s="32"/>
      <c r="F26" s="32"/>
      <c r="G26" s="41"/>
      <c r="H26" s="41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</row>
    <row r="27" ht="15.75" customHeight="1">
      <c r="A27" s="32"/>
      <c r="B27" s="195"/>
      <c r="C27" s="41"/>
      <c r="D27" s="196"/>
      <c r="E27" s="32"/>
      <c r="F27" s="32"/>
      <c r="G27" s="4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</row>
    <row r="28" ht="15.75" customHeight="1">
      <c r="A28" s="32"/>
      <c r="B28" s="195" t="s">
        <v>75</v>
      </c>
      <c r="C28" s="41"/>
      <c r="D28" s="20"/>
      <c r="E28" s="32"/>
      <c r="F28" s="32"/>
      <c r="G28" s="41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</row>
    <row r="29" ht="15.75" customHeight="1">
      <c r="A29" s="32"/>
      <c r="B29" s="195" t="s">
        <v>104</v>
      </c>
      <c r="C29" s="41"/>
      <c r="D29" s="20"/>
      <c r="E29" s="32"/>
      <c r="F29" s="32"/>
      <c r="G29" s="41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</row>
    <row r="30" ht="15.75" customHeight="1">
      <c r="A30" s="32"/>
      <c r="B30" s="195" t="s">
        <v>105</v>
      </c>
      <c r="C30" s="41"/>
      <c r="D30" s="20"/>
      <c r="E30" s="32"/>
      <c r="F30" s="32"/>
      <c r="G30" s="41"/>
      <c r="H30" s="41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</row>
    <row r="31" ht="15.75" customHeight="1">
      <c r="A31" s="32"/>
      <c r="B31" s="195" t="s">
        <v>270</v>
      </c>
      <c r="C31" s="41"/>
      <c r="D31" s="196"/>
      <c r="E31" s="32"/>
      <c r="F31" s="49"/>
      <c r="G31" s="49"/>
      <c r="H31" s="49"/>
      <c r="I31" s="49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</row>
    <row r="32" ht="15.75" customHeight="1">
      <c r="A32" s="32"/>
      <c r="B32" s="195"/>
      <c r="C32" s="41"/>
      <c r="D32" s="196"/>
      <c r="E32" s="32"/>
      <c r="F32" s="32"/>
      <c r="G32" s="41"/>
      <c r="H32" s="41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</row>
    <row r="33" ht="15.75" customHeight="1">
      <c r="A33" s="49"/>
      <c r="B33" s="212" t="s">
        <v>78</v>
      </c>
      <c r="C33" s="213" t="s">
        <v>249</v>
      </c>
      <c r="D33" s="214" t="s">
        <v>81</v>
      </c>
      <c r="E33" s="32"/>
      <c r="F33" s="32"/>
      <c r="G33" s="41"/>
      <c r="H33" s="41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</row>
    <row r="34" ht="15.75" customHeight="1">
      <c r="A34" s="32"/>
      <c r="B34" s="200" t="s">
        <v>250</v>
      </c>
      <c r="C34" s="51">
        <v>5</v>
      </c>
      <c r="D34" s="201" t="s">
        <v>271</v>
      </c>
      <c r="E34" s="32"/>
      <c r="F34" s="32"/>
      <c r="G34" s="41"/>
      <c r="H34" s="41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</row>
    <row r="35" ht="15.75" customHeight="1">
      <c r="A35" s="32"/>
      <c r="B35" s="200" t="s">
        <v>252</v>
      </c>
      <c r="C35" s="51">
        <v>5</v>
      </c>
      <c r="D35" s="201" t="s">
        <v>271</v>
      </c>
      <c r="E35" s="32"/>
      <c r="F35" s="32"/>
      <c r="G35" s="41"/>
      <c r="H35" s="41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</row>
    <row r="36" ht="15.75" customHeight="1">
      <c r="A36" s="32"/>
      <c r="B36" s="200" t="s">
        <v>253</v>
      </c>
      <c r="C36" s="51">
        <v>5</v>
      </c>
      <c r="D36" s="201" t="s">
        <v>271</v>
      </c>
      <c r="E36" s="32"/>
      <c r="F36" s="32"/>
      <c r="G36" s="41"/>
      <c r="H36" s="41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</row>
    <row r="37" ht="15.75" customHeight="1">
      <c r="A37" s="32"/>
      <c r="B37" s="200" t="s">
        <v>255</v>
      </c>
      <c r="C37" s="51">
        <v>5</v>
      </c>
      <c r="D37" s="201" t="s">
        <v>271</v>
      </c>
      <c r="E37" s="32"/>
      <c r="F37" s="32"/>
      <c r="G37" s="41"/>
      <c r="H37" s="41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</row>
    <row r="38" ht="15.75" customHeight="1">
      <c r="A38" s="32"/>
      <c r="B38" s="200" t="s">
        <v>256</v>
      </c>
      <c r="C38" s="51">
        <v>5</v>
      </c>
      <c r="D38" s="201" t="s">
        <v>271</v>
      </c>
      <c r="E38" s="32"/>
      <c r="F38" s="32"/>
      <c r="G38" s="41"/>
      <c r="H38" s="41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</row>
    <row r="39" ht="15.75" customHeight="1">
      <c r="A39" s="32"/>
      <c r="B39" s="200" t="s">
        <v>258</v>
      </c>
      <c r="C39" s="51">
        <v>5</v>
      </c>
      <c r="D39" s="201" t="s">
        <v>271</v>
      </c>
      <c r="E39" s="32"/>
      <c r="F39" s="32"/>
      <c r="G39" s="41"/>
      <c r="H39" s="41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</row>
    <row r="40" ht="15.75" customHeight="1">
      <c r="A40" s="32"/>
      <c r="B40" s="200" t="s">
        <v>260</v>
      </c>
      <c r="C40" s="51">
        <v>5</v>
      </c>
      <c r="D40" s="201" t="s">
        <v>271</v>
      </c>
      <c r="E40" s="32"/>
      <c r="F40" s="32"/>
      <c r="G40" s="41"/>
      <c r="H40" s="41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</row>
    <row r="41" ht="15.75" customHeight="1">
      <c r="A41" s="32"/>
      <c r="B41" s="200" t="s">
        <v>262</v>
      </c>
      <c r="C41" s="51">
        <v>5</v>
      </c>
      <c r="D41" s="201" t="s">
        <v>271</v>
      </c>
      <c r="E41" s="32"/>
      <c r="F41" s="59"/>
      <c r="G41" s="215"/>
      <c r="H41" s="41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</row>
    <row r="42" ht="15.75" customHeight="1">
      <c r="A42" s="32"/>
      <c r="B42" s="200" t="s">
        <v>264</v>
      </c>
      <c r="C42" s="51">
        <v>5</v>
      </c>
      <c r="D42" s="201" t="s">
        <v>271</v>
      </c>
      <c r="E42" s="32"/>
      <c r="F42" s="32"/>
      <c r="G42" s="7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</row>
    <row r="43" ht="15.75" customHeight="1">
      <c r="A43" s="32"/>
      <c r="B43" s="200" t="s">
        <v>266</v>
      </c>
      <c r="C43" s="51">
        <v>5</v>
      </c>
      <c r="D43" s="201" t="s">
        <v>271</v>
      </c>
      <c r="E43" s="32"/>
      <c r="F43" s="32"/>
      <c r="G43" s="41"/>
      <c r="H43" s="41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</row>
    <row r="44" ht="15.75" customHeight="1">
      <c r="A44" s="59"/>
      <c r="B44" s="203" t="s">
        <v>268</v>
      </c>
      <c r="C44" s="216">
        <f t="shared" si="0"/>
        <v>5</v>
      </c>
      <c r="D44" s="201"/>
      <c r="E44" s="32"/>
      <c r="F44" s="32"/>
      <c r="G44" s="41"/>
      <c r="H44" s="41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</row>
    <row r="45" ht="15.75" customHeight="1">
      <c r="A45" s="32"/>
      <c r="B45" s="205"/>
      <c r="C45" s="206"/>
      <c r="D45" s="207"/>
      <c r="E45" s="32"/>
      <c r="F45" s="32"/>
      <c r="G45" s="41"/>
      <c r="H45" s="41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</row>
    <row r="46" ht="15.75" customHeight="1">
      <c r="A46" s="32"/>
      <c r="B46" s="32"/>
      <c r="C46" s="41"/>
      <c r="D46" s="32"/>
      <c r="E46" s="32"/>
      <c r="F46" s="32"/>
      <c r="G46" s="41"/>
      <c r="H46" s="41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</row>
    <row r="47" ht="15.75" customHeight="1">
      <c r="A47" s="32"/>
      <c r="B47" s="32"/>
      <c r="C47" s="41"/>
      <c r="D47" s="32"/>
      <c r="E47" s="32"/>
      <c r="F47" s="39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</row>
    <row r="48" ht="15.75" customHeight="1">
      <c r="A48" s="32"/>
      <c r="B48" s="208"/>
      <c r="C48" s="209"/>
      <c r="D48" s="210"/>
      <c r="E48" s="32"/>
      <c r="F48" s="32"/>
      <c r="G48" s="41"/>
      <c r="H48" s="41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</row>
    <row r="49" ht="15.75" customHeight="1">
      <c r="A49" s="39"/>
      <c r="B49" s="217" t="s">
        <v>272</v>
      </c>
      <c r="C49" s="37"/>
      <c r="D49" s="194"/>
      <c r="E49" s="32"/>
      <c r="F49" s="32"/>
      <c r="G49" s="4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</row>
    <row r="50" ht="15.75" customHeight="1">
      <c r="A50" s="32"/>
      <c r="B50" s="195"/>
      <c r="C50" s="41"/>
      <c r="D50" s="196"/>
      <c r="E50" s="32"/>
      <c r="F50" s="32"/>
      <c r="G50" s="4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</row>
    <row r="51" ht="15.75" customHeight="1">
      <c r="A51" s="32"/>
      <c r="B51" s="195" t="s">
        <v>273</v>
      </c>
      <c r="C51" s="41"/>
      <c r="D51" s="20"/>
      <c r="E51" s="32"/>
      <c r="F51" s="32"/>
      <c r="G51" s="4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</row>
    <row r="52" ht="15.75" customHeight="1">
      <c r="A52" s="32"/>
      <c r="B52" s="195" t="s">
        <v>118</v>
      </c>
      <c r="C52" s="41"/>
      <c r="D52" s="20"/>
      <c r="E52" s="32"/>
      <c r="F52" s="32"/>
      <c r="G52" s="41"/>
      <c r="H52" s="41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</row>
    <row r="53" ht="15.75" customHeight="1">
      <c r="A53" s="32"/>
      <c r="B53" s="195" t="s">
        <v>105</v>
      </c>
      <c r="C53" s="41"/>
      <c r="D53" s="20"/>
      <c r="E53" s="32"/>
      <c r="F53" s="49"/>
      <c r="G53" s="49"/>
      <c r="H53" s="49"/>
      <c r="I53" s="49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</row>
    <row r="54" ht="15.75" customHeight="1">
      <c r="A54" s="32"/>
      <c r="B54" s="195" t="s">
        <v>274</v>
      </c>
      <c r="C54" s="41"/>
      <c r="D54" s="196"/>
      <c r="E54" s="32"/>
      <c r="F54" s="32"/>
      <c r="G54" s="41"/>
      <c r="H54" s="41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</row>
    <row r="55" ht="15.75" customHeight="1">
      <c r="A55" s="32"/>
      <c r="B55" s="195"/>
      <c r="C55" s="41"/>
      <c r="D55" s="196"/>
      <c r="E55" s="32"/>
      <c r="F55" s="32"/>
      <c r="G55" s="41"/>
      <c r="H55" s="41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</row>
    <row r="56" ht="15.75" customHeight="1">
      <c r="A56" s="49"/>
      <c r="B56" s="218" t="s">
        <v>78</v>
      </c>
      <c r="C56" s="219" t="s">
        <v>275</v>
      </c>
      <c r="D56" s="220" t="s">
        <v>81</v>
      </c>
      <c r="E56" s="32"/>
      <c r="F56" s="32"/>
      <c r="G56" s="41"/>
      <c r="H56" s="41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</row>
    <row r="57" ht="15.75" customHeight="1">
      <c r="A57" s="32"/>
      <c r="B57" s="200" t="s">
        <v>250</v>
      </c>
      <c r="C57" s="51">
        <v>5</v>
      </c>
      <c r="D57" s="201" t="s">
        <v>251</v>
      </c>
      <c r="E57" s="32"/>
      <c r="F57" s="32"/>
      <c r="G57" s="41"/>
      <c r="H57" s="41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</row>
    <row r="58" ht="15.75" customHeight="1">
      <c r="A58" s="32"/>
      <c r="B58" s="200" t="s">
        <v>252</v>
      </c>
      <c r="C58" s="51">
        <v>3</v>
      </c>
      <c r="D58" s="201" t="s">
        <v>276</v>
      </c>
      <c r="E58" s="32"/>
      <c r="F58" s="32"/>
      <c r="G58" s="41"/>
      <c r="H58" s="41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</row>
    <row r="59" ht="15.75" customHeight="1">
      <c r="A59" s="32"/>
      <c r="B59" s="200" t="s">
        <v>253</v>
      </c>
      <c r="C59" s="51">
        <v>4</v>
      </c>
      <c r="D59" s="201" t="s">
        <v>277</v>
      </c>
      <c r="E59" s="32"/>
      <c r="F59" s="32"/>
      <c r="G59" s="41"/>
      <c r="H59" s="41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</row>
    <row r="60" ht="15.75" customHeight="1">
      <c r="A60" s="32"/>
      <c r="B60" s="200" t="s">
        <v>255</v>
      </c>
      <c r="C60" s="51">
        <v>3</v>
      </c>
      <c r="D60" s="201" t="s">
        <v>278</v>
      </c>
      <c r="E60" s="32"/>
      <c r="F60" s="32"/>
      <c r="G60" s="41"/>
      <c r="H60" s="41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</row>
    <row r="61" ht="15.75" customHeight="1">
      <c r="A61" s="32"/>
      <c r="B61" s="200" t="s">
        <v>256</v>
      </c>
      <c r="C61" s="51">
        <v>4</v>
      </c>
      <c r="D61" s="201" t="s">
        <v>251</v>
      </c>
      <c r="E61" s="32"/>
      <c r="F61" s="32"/>
      <c r="G61" s="41"/>
      <c r="H61" s="41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</row>
    <row r="62" ht="15.75" customHeight="1">
      <c r="A62" s="32"/>
      <c r="B62" s="200" t="s">
        <v>258</v>
      </c>
      <c r="C62" s="51">
        <v>4</v>
      </c>
      <c r="D62" s="201" t="s">
        <v>279</v>
      </c>
      <c r="E62" s="32"/>
      <c r="F62" s="32"/>
      <c r="G62" s="41"/>
      <c r="H62" s="41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</row>
    <row r="63" ht="15.75" customHeight="1">
      <c r="A63" s="32"/>
      <c r="B63" s="200" t="s">
        <v>260</v>
      </c>
      <c r="C63" s="51">
        <v>3</v>
      </c>
      <c r="D63" s="201" t="s">
        <v>280</v>
      </c>
      <c r="E63" s="32"/>
      <c r="F63" s="59"/>
      <c r="G63" s="215"/>
      <c r="H63" s="41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</row>
    <row r="64" ht="15.75" customHeight="1">
      <c r="A64" s="32"/>
      <c r="B64" s="200" t="s">
        <v>262</v>
      </c>
      <c r="C64" s="51">
        <v>4</v>
      </c>
      <c r="D64" s="201" t="s">
        <v>251</v>
      </c>
      <c r="E64" s="32"/>
      <c r="F64" s="32"/>
      <c r="G64" s="7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</row>
    <row r="65" ht="15.75" customHeight="1">
      <c r="A65" s="32"/>
      <c r="B65" s="200" t="s">
        <v>264</v>
      </c>
      <c r="C65" s="51">
        <v>5</v>
      </c>
      <c r="D65" s="201" t="s">
        <v>251</v>
      </c>
      <c r="E65" s="32"/>
      <c r="F65" s="32"/>
      <c r="G65" s="41"/>
      <c r="H65" s="41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</row>
    <row r="66" ht="15.75" customHeight="1">
      <c r="A66" s="32"/>
      <c r="B66" s="200" t="s">
        <v>266</v>
      </c>
      <c r="C66" s="51">
        <v>5</v>
      </c>
      <c r="D66" s="201" t="s">
        <v>251</v>
      </c>
      <c r="E66" s="32"/>
      <c r="F66" s="32"/>
      <c r="G66" s="41"/>
      <c r="H66" s="41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</row>
    <row r="67" ht="15.75" customHeight="1">
      <c r="A67" s="59"/>
      <c r="B67" s="203" t="s">
        <v>268</v>
      </c>
      <c r="C67" s="221">
        <f t="shared" si="0"/>
        <v>4</v>
      </c>
      <c r="D67" s="201"/>
      <c r="E67" s="32"/>
      <c r="F67" s="32"/>
      <c r="G67" s="41"/>
      <c r="H67" s="41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</row>
    <row r="68" ht="15.75" customHeight="1">
      <c r="A68" s="32"/>
      <c r="B68" s="205"/>
      <c r="C68" s="206"/>
      <c r="D68" s="207"/>
      <c r="E68" s="32"/>
      <c r="F68" s="32"/>
      <c r="G68" s="41"/>
      <c r="H68" s="41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</row>
    <row r="69" ht="15.75" customHeight="1">
      <c r="A69" s="32"/>
      <c r="B69" s="32"/>
      <c r="C69" s="41"/>
      <c r="D69" s="32"/>
      <c r="E69" s="32"/>
      <c r="F69" s="39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</row>
    <row r="70" ht="15.75" customHeight="1">
      <c r="A70" s="32"/>
      <c r="B70" s="32"/>
      <c r="C70" s="41"/>
      <c r="D70" s="32"/>
      <c r="E70" s="32"/>
      <c r="F70" s="32"/>
      <c r="G70" s="41"/>
      <c r="H70" s="41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</row>
    <row r="71" ht="15.75" customHeight="1">
      <c r="A71" s="32"/>
      <c r="B71" s="208"/>
      <c r="C71" s="209"/>
      <c r="D71" s="210"/>
      <c r="E71" s="32"/>
      <c r="F71" s="32"/>
      <c r="G71" s="4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</row>
    <row r="72" ht="15.75" customHeight="1">
      <c r="A72" s="39"/>
      <c r="B72" s="222" t="s">
        <v>281</v>
      </c>
      <c r="C72" s="37"/>
      <c r="D72" s="194"/>
      <c r="E72" s="32"/>
      <c r="F72" s="32"/>
      <c r="G72" s="4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</row>
    <row r="73" ht="15.75" customHeight="1">
      <c r="A73" s="32"/>
      <c r="B73" s="195"/>
      <c r="C73" s="41"/>
      <c r="D73" s="196"/>
      <c r="E73" s="32"/>
      <c r="F73" s="32"/>
      <c r="G73" s="4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</row>
    <row r="74" ht="15.75" customHeight="1">
      <c r="A74" s="32"/>
      <c r="B74" s="195" t="s">
        <v>282</v>
      </c>
      <c r="C74" s="41"/>
      <c r="D74" s="20"/>
      <c r="E74" s="32"/>
      <c r="F74" s="32"/>
      <c r="G74" s="41"/>
      <c r="H74" s="41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</row>
    <row r="75" ht="15.75" customHeight="1">
      <c r="A75" s="32"/>
      <c r="B75" s="195" t="s">
        <v>131</v>
      </c>
      <c r="C75" s="41"/>
      <c r="D75" s="20"/>
      <c r="E75" s="32"/>
      <c r="F75" s="49"/>
      <c r="G75" s="49"/>
      <c r="H75" s="49"/>
      <c r="I75" s="49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</row>
    <row r="76" ht="15.75" customHeight="1">
      <c r="A76" s="32"/>
      <c r="B76" s="195" t="s">
        <v>132</v>
      </c>
      <c r="C76" s="41"/>
      <c r="D76" s="20"/>
      <c r="E76" s="32"/>
      <c r="F76" s="32"/>
      <c r="G76" s="41"/>
      <c r="H76" s="41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</row>
    <row r="77" ht="15.75" customHeight="1">
      <c r="A77" s="32"/>
      <c r="B77" s="195" t="s">
        <v>283</v>
      </c>
      <c r="C77" s="41"/>
      <c r="D77" s="196"/>
      <c r="E77" s="32"/>
      <c r="F77" s="32"/>
      <c r="G77" s="41"/>
      <c r="H77" s="41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</row>
    <row r="78" ht="15.75" customHeight="1">
      <c r="A78" s="32"/>
      <c r="B78" s="195"/>
      <c r="C78" s="41"/>
      <c r="D78" s="196"/>
      <c r="E78" s="32"/>
      <c r="F78" s="32"/>
      <c r="G78" s="41"/>
      <c r="H78" s="41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</row>
    <row r="79" ht="15.75" customHeight="1">
      <c r="A79" s="49"/>
      <c r="B79" s="223" t="s">
        <v>78</v>
      </c>
      <c r="C79" s="224" t="s">
        <v>284</v>
      </c>
      <c r="D79" s="225" t="s">
        <v>81</v>
      </c>
      <c r="E79" s="41"/>
      <c r="F79" s="32"/>
      <c r="G79" s="41"/>
      <c r="H79" s="41"/>
      <c r="I79" s="32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</row>
    <row r="80" ht="15.75" customHeight="1">
      <c r="A80" s="32"/>
      <c r="B80" s="200" t="s">
        <v>250</v>
      </c>
      <c r="C80" s="51">
        <v>5</v>
      </c>
      <c r="D80" s="201" t="s">
        <v>285</v>
      </c>
      <c r="E80" s="32"/>
      <c r="F80" s="32"/>
      <c r="G80" s="41"/>
      <c r="H80" s="41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</row>
    <row r="81" ht="15.75" customHeight="1">
      <c r="A81" s="32"/>
      <c r="B81" s="200" t="s">
        <v>252</v>
      </c>
      <c r="C81" s="51">
        <v>5</v>
      </c>
      <c r="D81" s="201" t="s">
        <v>286</v>
      </c>
      <c r="E81" s="32"/>
      <c r="F81" s="32"/>
      <c r="G81" s="41"/>
      <c r="H81" s="41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</row>
    <row r="82" ht="15.75" customHeight="1">
      <c r="A82" s="32"/>
      <c r="B82" s="200" t="s">
        <v>253</v>
      </c>
      <c r="C82" s="51">
        <v>5</v>
      </c>
      <c r="D82" s="201" t="s">
        <v>271</v>
      </c>
      <c r="E82" s="32"/>
      <c r="F82" s="32"/>
      <c r="G82" s="41"/>
      <c r="H82" s="41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</row>
    <row r="83" ht="15.75" customHeight="1">
      <c r="A83" s="32"/>
      <c r="B83" s="200" t="s">
        <v>255</v>
      </c>
      <c r="C83" s="51">
        <v>5</v>
      </c>
      <c r="D83" s="201" t="s">
        <v>271</v>
      </c>
      <c r="E83" s="32"/>
      <c r="F83" s="32"/>
      <c r="G83" s="41"/>
      <c r="H83" s="41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</row>
    <row r="84" ht="15.75" customHeight="1">
      <c r="A84" s="32"/>
      <c r="B84" s="200" t="s">
        <v>256</v>
      </c>
      <c r="C84" s="51">
        <v>5</v>
      </c>
      <c r="D84" s="201" t="s">
        <v>287</v>
      </c>
      <c r="E84" s="32"/>
      <c r="F84" s="32"/>
      <c r="G84" s="41"/>
      <c r="H84" s="41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</row>
    <row r="85" ht="15.75" customHeight="1">
      <c r="A85" s="32"/>
      <c r="B85" s="200" t="s">
        <v>258</v>
      </c>
      <c r="C85" s="51">
        <v>5</v>
      </c>
      <c r="D85" s="201" t="s">
        <v>288</v>
      </c>
      <c r="E85" s="32"/>
      <c r="F85" s="32"/>
      <c r="G85" s="215"/>
      <c r="H85" s="41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</row>
    <row r="86" ht="15.75" customHeight="1">
      <c r="A86" s="32"/>
      <c r="B86" s="200" t="s">
        <v>260</v>
      </c>
      <c r="C86" s="51">
        <v>5</v>
      </c>
      <c r="D86" s="201" t="s">
        <v>289</v>
      </c>
      <c r="E86" s="32"/>
      <c r="F86" s="32"/>
      <c r="G86" s="7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</row>
    <row r="87" ht="15.75" customHeight="1">
      <c r="A87" s="32"/>
      <c r="B87" s="200" t="s">
        <v>262</v>
      </c>
      <c r="C87" s="51">
        <v>5</v>
      </c>
      <c r="D87" s="201" t="s">
        <v>290</v>
      </c>
      <c r="E87" s="32"/>
      <c r="F87" s="32"/>
      <c r="G87" s="41"/>
      <c r="H87" s="41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</row>
    <row r="88" ht="15.75" customHeight="1">
      <c r="A88" s="32"/>
      <c r="B88" s="200" t="s">
        <v>264</v>
      </c>
      <c r="C88" s="51">
        <v>5</v>
      </c>
      <c r="D88" s="201" t="s">
        <v>271</v>
      </c>
      <c r="E88" s="32"/>
      <c r="F88" s="32"/>
      <c r="G88" s="41"/>
      <c r="H88" s="41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</row>
    <row r="89" ht="15.75" customHeight="1">
      <c r="A89" s="32"/>
      <c r="B89" s="200" t="s">
        <v>266</v>
      </c>
      <c r="C89" s="51">
        <v>5</v>
      </c>
      <c r="D89" s="201" t="s">
        <v>271</v>
      </c>
      <c r="E89" s="32"/>
      <c r="F89" s="32"/>
      <c r="G89" s="41"/>
      <c r="H89" s="41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</row>
    <row r="90" ht="15.75" customHeight="1">
      <c r="A90" s="59"/>
      <c r="B90" s="203" t="s">
        <v>268</v>
      </c>
      <c r="C90" s="226">
        <f t="shared" si="0"/>
        <v>5</v>
      </c>
      <c r="D90" s="201"/>
      <c r="E90" s="32"/>
      <c r="F90" s="32"/>
      <c r="G90" s="41"/>
      <c r="H90" s="41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</row>
    <row r="91" ht="15.75" customHeight="1">
      <c r="A91" s="32"/>
      <c r="B91" s="205"/>
      <c r="C91" s="206"/>
      <c r="D91" s="207"/>
      <c r="E91" s="32"/>
      <c r="F91" s="39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</row>
    <row r="92" ht="15.75" customHeight="1">
      <c r="A92" s="32"/>
      <c r="B92" s="32"/>
      <c r="C92" s="41"/>
      <c r="D92" s="32"/>
      <c r="E92" s="32"/>
      <c r="F92" s="32"/>
      <c r="G92" s="41"/>
      <c r="H92" s="41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</row>
    <row r="93" ht="15.75" customHeight="1">
      <c r="A93" s="32"/>
      <c r="B93" s="32"/>
      <c r="C93" s="41"/>
      <c r="D93" s="32"/>
      <c r="E93" s="32"/>
      <c r="F93" s="32"/>
      <c r="G93" s="4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</row>
    <row r="94" ht="15.75" customHeight="1">
      <c r="A94" s="32"/>
      <c r="B94" s="208"/>
      <c r="C94" s="209"/>
      <c r="D94" s="210"/>
      <c r="E94" s="32"/>
      <c r="F94" s="32"/>
      <c r="G94" s="4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</row>
    <row r="95" ht="15.75" customHeight="1">
      <c r="A95" s="39"/>
      <c r="B95" s="227" t="s">
        <v>291</v>
      </c>
      <c r="C95" s="37"/>
      <c r="D95" s="194"/>
      <c r="E95" s="32"/>
      <c r="F95" s="32"/>
      <c r="G95" s="4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</row>
    <row r="96" ht="15.75" customHeight="1">
      <c r="A96" s="32"/>
      <c r="B96" s="195"/>
      <c r="C96" s="41"/>
      <c r="D96" s="196"/>
      <c r="E96" s="32"/>
      <c r="F96" s="32"/>
      <c r="G96" s="41"/>
      <c r="H96" s="41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</row>
    <row r="97" ht="15.75" customHeight="1">
      <c r="A97" s="32"/>
      <c r="B97" s="195" t="s">
        <v>282</v>
      </c>
      <c r="C97" s="41"/>
      <c r="D97" s="20"/>
      <c r="E97" s="32"/>
      <c r="F97" s="49"/>
      <c r="G97" s="49"/>
      <c r="H97" s="49"/>
      <c r="I97" s="49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</row>
    <row r="98" ht="15.75" customHeight="1">
      <c r="A98" s="32"/>
      <c r="B98" s="195" t="s">
        <v>143</v>
      </c>
      <c r="C98" s="41"/>
      <c r="D98" s="20"/>
      <c r="E98" s="32"/>
      <c r="F98" s="32"/>
      <c r="G98" s="41"/>
      <c r="H98" s="41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</row>
    <row r="99" ht="15.75" customHeight="1">
      <c r="A99" s="32"/>
      <c r="B99" s="195" t="s">
        <v>105</v>
      </c>
      <c r="C99" s="41"/>
      <c r="D99" s="20"/>
      <c r="E99" s="32"/>
      <c r="F99" s="32"/>
      <c r="G99" s="41"/>
      <c r="H99" s="41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</row>
    <row r="100" ht="15.75" customHeight="1">
      <c r="A100" s="32"/>
      <c r="B100" s="195" t="s">
        <v>292</v>
      </c>
      <c r="C100" s="41"/>
      <c r="D100" s="196"/>
      <c r="E100" s="32"/>
      <c r="F100" s="32"/>
      <c r="G100" s="41"/>
      <c r="H100" s="41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</row>
    <row r="101" ht="15.75" customHeight="1">
      <c r="A101" s="32"/>
      <c r="B101" s="195"/>
      <c r="C101" s="41"/>
      <c r="D101" s="196"/>
      <c r="E101" s="32"/>
      <c r="F101" s="32"/>
      <c r="G101" s="41"/>
      <c r="H101" s="41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</row>
    <row r="102" ht="15.75" customHeight="1">
      <c r="A102" s="49"/>
      <c r="B102" s="228" t="s">
        <v>78</v>
      </c>
      <c r="C102" s="229" t="s">
        <v>249</v>
      </c>
      <c r="D102" s="230" t="s">
        <v>81</v>
      </c>
      <c r="E102" s="41"/>
      <c r="F102" s="32"/>
      <c r="G102" s="41"/>
      <c r="H102" s="41"/>
      <c r="I102" s="32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</row>
    <row r="103" ht="15.75" customHeight="1">
      <c r="A103" s="32"/>
      <c r="B103" s="200" t="s">
        <v>250</v>
      </c>
      <c r="C103" s="51">
        <v>5</v>
      </c>
      <c r="D103" s="201" t="s">
        <v>251</v>
      </c>
      <c r="E103" s="32"/>
      <c r="F103" s="32"/>
      <c r="G103" s="41"/>
      <c r="H103" s="41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</row>
    <row r="104" ht="15.75" customHeight="1">
      <c r="A104" s="32"/>
      <c r="B104" s="200" t="s">
        <v>252</v>
      </c>
      <c r="C104" s="51">
        <v>5</v>
      </c>
      <c r="D104" s="201" t="s">
        <v>293</v>
      </c>
      <c r="E104" s="32"/>
      <c r="F104" s="32"/>
      <c r="G104" s="41"/>
      <c r="H104" s="41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</row>
    <row r="105" ht="15.75" customHeight="1">
      <c r="A105" s="32"/>
      <c r="B105" s="200" t="s">
        <v>253</v>
      </c>
      <c r="C105" s="51">
        <v>5</v>
      </c>
      <c r="D105" s="201" t="s">
        <v>293</v>
      </c>
      <c r="E105" s="32"/>
      <c r="F105" s="32"/>
      <c r="G105" s="41"/>
      <c r="H105" s="41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</row>
    <row r="106" ht="15.75" customHeight="1">
      <c r="A106" s="32"/>
      <c r="B106" s="200" t="s">
        <v>255</v>
      </c>
      <c r="C106" s="51">
        <v>4</v>
      </c>
      <c r="D106" s="201" t="s">
        <v>251</v>
      </c>
      <c r="E106" s="32"/>
      <c r="F106" s="32"/>
      <c r="G106" s="41"/>
      <c r="H106" s="41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</row>
    <row r="107" ht="15.75" customHeight="1">
      <c r="A107" s="32"/>
      <c r="B107" s="200" t="s">
        <v>256</v>
      </c>
      <c r="C107" s="51">
        <v>4</v>
      </c>
      <c r="D107" s="201" t="s">
        <v>294</v>
      </c>
      <c r="E107" s="32"/>
      <c r="F107" s="32"/>
      <c r="G107" s="215"/>
      <c r="H107" s="41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</row>
    <row r="108" ht="15.75" customHeight="1">
      <c r="A108" s="32"/>
      <c r="B108" s="200" t="s">
        <v>258</v>
      </c>
      <c r="C108" s="51">
        <v>3</v>
      </c>
      <c r="D108" s="201" t="s">
        <v>295</v>
      </c>
      <c r="E108" s="32"/>
      <c r="F108" s="32"/>
      <c r="G108" s="7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</row>
    <row r="109" ht="15.75" customHeight="1">
      <c r="A109" s="32"/>
      <c r="B109" s="200" t="s">
        <v>260</v>
      </c>
      <c r="C109" s="231">
        <v>4</v>
      </c>
      <c r="D109" s="201" t="s">
        <v>296</v>
      </c>
      <c r="E109" s="32"/>
      <c r="F109" s="32"/>
      <c r="G109" s="41"/>
      <c r="H109" s="41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</row>
    <row r="110" ht="15.75" customHeight="1">
      <c r="A110" s="32"/>
      <c r="B110" s="200" t="s">
        <v>262</v>
      </c>
      <c r="C110" s="51">
        <v>4</v>
      </c>
      <c r="D110" s="201" t="s">
        <v>297</v>
      </c>
      <c r="E110" s="32"/>
      <c r="F110" s="32"/>
      <c r="G110" s="41"/>
      <c r="H110" s="41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</row>
    <row r="111" ht="15.75" customHeight="1">
      <c r="A111" s="32"/>
      <c r="B111" s="200" t="s">
        <v>264</v>
      </c>
      <c r="C111" s="51">
        <v>4</v>
      </c>
      <c r="D111" s="201" t="s">
        <v>293</v>
      </c>
      <c r="E111" s="32"/>
      <c r="F111" s="32"/>
      <c r="G111" s="41"/>
      <c r="H111" s="41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</row>
    <row r="112" ht="15.75" customHeight="1">
      <c r="A112" s="32"/>
      <c r="B112" s="200" t="s">
        <v>266</v>
      </c>
      <c r="C112" s="51">
        <v>4</v>
      </c>
      <c r="D112" s="201" t="s">
        <v>293</v>
      </c>
      <c r="E112" s="32"/>
      <c r="F112" s="32"/>
      <c r="G112" s="41"/>
      <c r="H112" s="41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</row>
    <row r="113" ht="15.75" customHeight="1">
      <c r="A113" s="59"/>
      <c r="B113" s="203" t="s">
        <v>268</v>
      </c>
      <c r="C113" s="232">
        <f t="shared" si="0"/>
        <v>4.2</v>
      </c>
      <c r="D113" s="201"/>
      <c r="E113" s="32"/>
      <c r="F113" s="39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</row>
    <row r="114" ht="15.75" customHeight="1">
      <c r="A114" s="32"/>
      <c r="B114" s="205"/>
      <c r="C114" s="206"/>
      <c r="D114" s="207"/>
      <c r="E114" s="32"/>
      <c r="F114" s="32"/>
      <c r="G114" s="41"/>
      <c r="H114" s="41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</row>
    <row r="115" ht="15.75" customHeight="1">
      <c r="A115" s="32"/>
      <c r="B115" s="32"/>
      <c r="C115" s="41"/>
      <c r="D115" s="32"/>
      <c r="E115" s="32"/>
      <c r="F115" s="32"/>
      <c r="G115" s="4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</row>
    <row r="116" ht="15.75" customHeight="1">
      <c r="A116" s="32"/>
      <c r="B116" s="32"/>
      <c r="C116" s="41"/>
      <c r="D116" s="32"/>
      <c r="E116" s="32"/>
      <c r="F116" s="32"/>
      <c r="G116" s="4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</row>
    <row r="117" ht="15.75" customHeight="1">
      <c r="A117" s="32"/>
      <c r="B117" s="208"/>
      <c r="C117" s="209"/>
      <c r="D117" s="210"/>
      <c r="E117" s="32"/>
      <c r="F117" s="32"/>
      <c r="G117" s="4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</row>
    <row r="118" ht="15.75" customHeight="1">
      <c r="A118" s="39"/>
      <c r="B118" s="233" t="s">
        <v>298</v>
      </c>
      <c r="C118" s="37"/>
      <c r="D118" s="194"/>
      <c r="E118" s="32"/>
      <c r="F118" s="32"/>
      <c r="G118" s="41"/>
      <c r="H118" s="41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</row>
    <row r="119" ht="15.75" customHeight="1">
      <c r="A119" s="32"/>
      <c r="B119" s="195"/>
      <c r="C119" s="41"/>
      <c r="D119" s="196"/>
      <c r="E119" s="32"/>
      <c r="F119" s="49"/>
      <c r="G119" s="49"/>
      <c r="H119" s="49"/>
      <c r="I119" s="49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</row>
    <row r="120" ht="15.75" customHeight="1">
      <c r="A120" s="32"/>
      <c r="B120" s="195" t="s">
        <v>282</v>
      </c>
      <c r="C120" s="41"/>
      <c r="D120" s="20"/>
      <c r="E120" s="32"/>
      <c r="F120" s="32"/>
      <c r="G120" s="41"/>
      <c r="H120" s="41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</row>
    <row r="121" ht="15.75" customHeight="1">
      <c r="A121" s="32"/>
      <c r="B121" s="195" t="s">
        <v>299</v>
      </c>
      <c r="C121" s="41"/>
      <c r="D121" s="20"/>
      <c r="E121" s="32"/>
      <c r="F121" s="32"/>
      <c r="G121" s="41"/>
      <c r="H121" s="41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</row>
    <row r="122" ht="15.75" customHeight="1">
      <c r="A122" s="32"/>
      <c r="B122" s="195" t="s">
        <v>105</v>
      </c>
      <c r="C122" s="41"/>
      <c r="D122" s="20"/>
      <c r="E122" s="32"/>
      <c r="F122" s="32"/>
      <c r="G122" s="41"/>
      <c r="H122" s="41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</row>
    <row r="123" ht="15.75" customHeight="1">
      <c r="A123" s="32"/>
      <c r="B123" s="195" t="s">
        <v>300</v>
      </c>
      <c r="C123" s="41"/>
      <c r="D123" s="196"/>
      <c r="E123" s="32"/>
      <c r="F123" s="32"/>
      <c r="G123" s="41"/>
      <c r="H123" s="41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</row>
    <row r="124" ht="15.75" customHeight="1">
      <c r="A124" s="32"/>
      <c r="B124" s="195"/>
      <c r="C124" s="41"/>
      <c r="D124" s="196"/>
      <c r="E124" s="32"/>
      <c r="F124" s="32"/>
      <c r="G124" s="41"/>
      <c r="H124" s="41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</row>
    <row r="125" ht="15.75" customHeight="1">
      <c r="A125" s="49"/>
      <c r="B125" s="234" t="s">
        <v>78</v>
      </c>
      <c r="C125" s="235" t="s">
        <v>249</v>
      </c>
      <c r="D125" s="236" t="s">
        <v>81</v>
      </c>
      <c r="E125" s="41"/>
      <c r="F125" s="32"/>
      <c r="G125" s="41"/>
      <c r="H125" s="41"/>
      <c r="I125" s="32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</row>
    <row r="126" ht="15.75" customHeight="1">
      <c r="A126" s="32"/>
      <c r="B126" s="200" t="s">
        <v>250</v>
      </c>
      <c r="C126" s="51">
        <v>4</v>
      </c>
      <c r="D126" s="201" t="s">
        <v>301</v>
      </c>
      <c r="E126" s="32"/>
      <c r="F126" s="32"/>
      <c r="G126" s="41"/>
      <c r="H126" s="41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</row>
    <row r="127" ht="15.75" customHeight="1">
      <c r="A127" s="32"/>
      <c r="B127" s="200" t="s">
        <v>252</v>
      </c>
      <c r="C127" s="51">
        <v>4</v>
      </c>
      <c r="D127" s="201" t="s">
        <v>302</v>
      </c>
      <c r="E127" s="32"/>
      <c r="F127" s="32"/>
      <c r="G127" s="41"/>
      <c r="H127" s="41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</row>
    <row r="128" ht="15.75" customHeight="1">
      <c r="A128" s="32"/>
      <c r="B128" s="200" t="s">
        <v>253</v>
      </c>
      <c r="C128" s="51">
        <v>3</v>
      </c>
      <c r="D128" s="201" t="s">
        <v>303</v>
      </c>
      <c r="E128" s="32"/>
      <c r="F128" s="32"/>
      <c r="G128" s="41"/>
      <c r="H128" s="41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</row>
    <row r="129" ht="15.75" customHeight="1">
      <c r="A129" s="32"/>
      <c r="B129" s="200" t="s">
        <v>255</v>
      </c>
      <c r="C129" s="51">
        <v>3</v>
      </c>
      <c r="D129" s="201" t="s">
        <v>304</v>
      </c>
      <c r="E129" s="32"/>
      <c r="F129" s="32"/>
      <c r="G129" s="202"/>
      <c r="H129" s="41"/>
      <c r="I129" s="41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</row>
    <row r="130" ht="15.75" customHeight="1">
      <c r="A130" s="32"/>
      <c r="B130" s="200" t="s">
        <v>256</v>
      </c>
      <c r="C130" s="51">
        <v>3</v>
      </c>
      <c r="D130" s="201" t="s">
        <v>305</v>
      </c>
      <c r="E130" s="32"/>
      <c r="F130" s="32"/>
      <c r="G130" s="7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</row>
    <row r="131" ht="15.75" customHeight="1">
      <c r="A131" s="32"/>
      <c r="B131" s="200" t="s">
        <v>258</v>
      </c>
      <c r="C131" s="51">
        <v>3</v>
      </c>
      <c r="D131" s="201" t="s">
        <v>306</v>
      </c>
      <c r="E131" s="32"/>
      <c r="F131" s="32"/>
      <c r="G131" s="41"/>
      <c r="H131" s="41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</row>
    <row r="132" ht="15.75" customHeight="1">
      <c r="A132" s="32"/>
      <c r="B132" s="200" t="s">
        <v>260</v>
      </c>
      <c r="C132" s="231">
        <v>3</v>
      </c>
      <c r="D132" s="201" t="s">
        <v>307</v>
      </c>
      <c r="E132" s="32"/>
      <c r="F132" s="32"/>
      <c r="G132" s="41"/>
      <c r="H132" s="41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</row>
    <row r="133" ht="15.75" customHeight="1">
      <c r="A133" s="32"/>
      <c r="B133" s="200" t="s">
        <v>262</v>
      </c>
      <c r="C133" s="51">
        <v>3</v>
      </c>
      <c r="D133" s="201" t="s">
        <v>308</v>
      </c>
      <c r="E133" s="32"/>
      <c r="F133" s="32"/>
      <c r="G133" s="41"/>
      <c r="H133" s="41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</row>
    <row r="134" ht="15.75" customHeight="1">
      <c r="A134" s="32"/>
      <c r="B134" s="200" t="s">
        <v>264</v>
      </c>
      <c r="C134" s="51">
        <v>3</v>
      </c>
      <c r="D134" s="201" t="s">
        <v>309</v>
      </c>
      <c r="E134" s="32"/>
      <c r="F134" s="32"/>
      <c r="G134" s="41"/>
      <c r="H134" s="41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</row>
    <row r="135" ht="15.75" customHeight="1">
      <c r="A135" s="32"/>
      <c r="B135" s="200" t="s">
        <v>266</v>
      </c>
      <c r="C135" s="51">
        <v>3</v>
      </c>
      <c r="D135" s="201" t="s">
        <v>310</v>
      </c>
      <c r="E135" s="32"/>
      <c r="F135" s="39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</row>
    <row r="136" ht="15.75" customHeight="1">
      <c r="A136" s="59"/>
      <c r="B136" s="203" t="s">
        <v>268</v>
      </c>
      <c r="C136" s="237">
        <f t="shared" si="0"/>
        <v>3.2</v>
      </c>
      <c r="D136" s="201"/>
      <c r="E136" s="32"/>
      <c r="F136" s="32"/>
      <c r="G136" s="41"/>
      <c r="H136" s="41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</row>
    <row r="137" ht="15.75" customHeight="1">
      <c r="A137" s="32"/>
      <c r="B137" s="205"/>
      <c r="C137" s="206"/>
      <c r="D137" s="207"/>
      <c r="E137" s="32"/>
      <c r="F137" s="32"/>
      <c r="G137" s="41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</row>
    <row r="138" ht="15.75" customHeight="1">
      <c r="A138" s="32"/>
      <c r="B138" s="32"/>
      <c r="C138" s="41"/>
      <c r="D138" s="32"/>
      <c r="E138" s="32"/>
      <c r="F138" s="32"/>
      <c r="G138" s="41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</row>
    <row r="139" ht="15.75" customHeight="1">
      <c r="A139" s="32"/>
      <c r="B139" s="32"/>
      <c r="C139" s="41"/>
      <c r="D139" s="32"/>
      <c r="E139" s="32"/>
      <c r="F139" s="32"/>
      <c r="G139" s="4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</row>
    <row r="140" ht="15.75" customHeight="1">
      <c r="A140" s="32"/>
      <c r="B140" s="208"/>
      <c r="C140" s="209"/>
      <c r="D140" s="210"/>
      <c r="E140" s="32"/>
      <c r="F140" s="32"/>
      <c r="G140" s="41"/>
      <c r="H140" s="41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</row>
    <row r="141" ht="15.75" customHeight="1">
      <c r="A141" s="39"/>
      <c r="B141" s="238" t="s">
        <v>311</v>
      </c>
      <c r="C141" s="37"/>
      <c r="D141" s="194"/>
      <c r="E141" s="32"/>
      <c r="F141" s="49"/>
      <c r="G141" s="49"/>
      <c r="H141" s="49"/>
      <c r="I141" s="49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</row>
    <row r="142" ht="15.75" customHeight="1">
      <c r="A142" s="32"/>
      <c r="B142" s="195"/>
      <c r="C142" s="41"/>
      <c r="D142" s="196"/>
      <c r="E142" s="32"/>
      <c r="F142" s="32"/>
      <c r="G142" s="41"/>
      <c r="H142" s="41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</row>
    <row r="143" ht="15.75" customHeight="1">
      <c r="A143" s="32"/>
      <c r="B143" s="195" t="s">
        <v>282</v>
      </c>
      <c r="C143" s="41"/>
      <c r="D143" s="20"/>
      <c r="E143" s="32"/>
      <c r="F143" s="32"/>
      <c r="G143" s="41"/>
      <c r="H143" s="41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</row>
    <row r="144" ht="15.75" customHeight="1">
      <c r="A144" s="32"/>
      <c r="B144" s="195" t="s">
        <v>299</v>
      </c>
      <c r="C144" s="41"/>
      <c r="D144" s="20"/>
      <c r="E144" s="32"/>
      <c r="F144" s="32"/>
      <c r="G144" s="41"/>
      <c r="H144" s="41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</row>
    <row r="145" ht="15.75" customHeight="1">
      <c r="A145" s="32"/>
      <c r="B145" s="195" t="s">
        <v>105</v>
      </c>
      <c r="C145" s="41"/>
      <c r="D145" s="20"/>
      <c r="E145" s="32"/>
      <c r="F145" s="32"/>
      <c r="G145" s="41"/>
      <c r="H145" s="41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</row>
    <row r="146" ht="15.75" customHeight="1">
      <c r="A146" s="32"/>
      <c r="B146" s="195" t="s">
        <v>312</v>
      </c>
      <c r="C146" s="41"/>
      <c r="D146" s="196"/>
      <c r="E146" s="32"/>
      <c r="F146" s="32"/>
      <c r="G146" s="41"/>
      <c r="H146" s="41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</row>
    <row r="147" ht="15.75" customHeight="1">
      <c r="A147" s="32"/>
      <c r="B147" s="195"/>
      <c r="C147" s="41"/>
      <c r="D147" s="196"/>
      <c r="E147" s="32"/>
      <c r="F147" s="32"/>
      <c r="G147" s="41"/>
      <c r="H147" s="41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</row>
    <row r="148" ht="15.75" customHeight="1">
      <c r="A148" s="49"/>
      <c r="B148" s="239" t="s">
        <v>78</v>
      </c>
      <c r="C148" s="240" t="s">
        <v>249</v>
      </c>
      <c r="D148" s="241" t="s">
        <v>81</v>
      </c>
      <c r="E148" s="41"/>
      <c r="F148" s="32"/>
      <c r="G148" s="41"/>
      <c r="H148" s="41"/>
      <c r="I148" s="32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</row>
    <row r="149" ht="15.75" customHeight="1">
      <c r="A149" s="32"/>
      <c r="B149" s="200" t="s">
        <v>250</v>
      </c>
      <c r="C149" s="51">
        <v>4</v>
      </c>
      <c r="D149" s="201" t="s">
        <v>313</v>
      </c>
      <c r="E149" s="32"/>
      <c r="F149" s="32"/>
      <c r="G149" s="41"/>
      <c r="H149" s="41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</row>
    <row r="150" ht="15.75" customHeight="1">
      <c r="A150" s="32"/>
      <c r="B150" s="200" t="s">
        <v>252</v>
      </c>
      <c r="C150" s="51">
        <v>5</v>
      </c>
      <c r="D150" s="201" t="s">
        <v>314</v>
      </c>
      <c r="E150" s="32"/>
      <c r="F150" s="32"/>
      <c r="G150" s="41"/>
      <c r="H150" s="41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</row>
    <row r="151" ht="15.75" customHeight="1">
      <c r="A151" s="32"/>
      <c r="B151" s="200" t="s">
        <v>253</v>
      </c>
      <c r="C151" s="51">
        <v>4</v>
      </c>
      <c r="D151" s="201" t="s">
        <v>315</v>
      </c>
      <c r="E151" s="32"/>
      <c r="F151" s="32"/>
      <c r="G151" s="202"/>
      <c r="H151" s="41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</row>
    <row r="152" ht="15.75" customHeight="1">
      <c r="A152" s="32"/>
      <c r="B152" s="200" t="s">
        <v>255</v>
      </c>
      <c r="C152" s="51">
        <v>4</v>
      </c>
      <c r="D152" s="201" t="s">
        <v>316</v>
      </c>
      <c r="E152" s="32"/>
      <c r="F152" s="32"/>
      <c r="G152" s="7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</row>
    <row r="153" ht="15.75" customHeight="1">
      <c r="A153" s="32"/>
      <c r="B153" s="200" t="s">
        <v>256</v>
      </c>
      <c r="C153" s="51">
        <v>4</v>
      </c>
      <c r="D153" s="201" t="s">
        <v>317</v>
      </c>
      <c r="E153" s="32"/>
      <c r="F153" s="32"/>
      <c r="G153" s="41"/>
      <c r="H153" s="41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</row>
    <row r="154" ht="15.75" customHeight="1">
      <c r="A154" s="32"/>
      <c r="B154" s="200" t="s">
        <v>258</v>
      </c>
      <c r="C154" s="51">
        <v>4</v>
      </c>
      <c r="D154" s="201" t="s">
        <v>318</v>
      </c>
      <c r="E154" s="32"/>
      <c r="F154" s="32"/>
      <c r="G154" s="41"/>
      <c r="H154" s="41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</row>
    <row r="155" ht="15.75" customHeight="1">
      <c r="A155" s="32"/>
      <c r="B155" s="200" t="s">
        <v>260</v>
      </c>
      <c r="C155" s="51">
        <v>4</v>
      </c>
      <c r="D155" s="201" t="s">
        <v>319</v>
      </c>
      <c r="E155" s="32"/>
      <c r="F155" s="32"/>
      <c r="G155" s="41"/>
      <c r="H155" s="41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</row>
    <row r="156" ht="15.75" customHeight="1">
      <c r="A156" s="32"/>
      <c r="B156" s="200" t="s">
        <v>262</v>
      </c>
      <c r="C156" s="51">
        <v>4</v>
      </c>
      <c r="D156" s="201" t="s">
        <v>320</v>
      </c>
      <c r="E156" s="32"/>
      <c r="F156" s="32"/>
      <c r="G156" s="41"/>
      <c r="H156" s="41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</row>
    <row r="157" ht="15.75" customHeight="1">
      <c r="A157" s="32"/>
      <c r="B157" s="200" t="s">
        <v>264</v>
      </c>
      <c r="C157" s="51">
        <v>4</v>
      </c>
      <c r="D157" s="201" t="s">
        <v>321</v>
      </c>
      <c r="E157" s="32"/>
      <c r="F157" s="39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</row>
    <row r="158" ht="15.75" customHeight="1">
      <c r="A158" s="32"/>
      <c r="B158" s="200" t="s">
        <v>266</v>
      </c>
      <c r="C158" s="51">
        <v>4</v>
      </c>
      <c r="D158" s="201" t="s">
        <v>322</v>
      </c>
      <c r="E158" s="32"/>
      <c r="F158" s="32"/>
      <c r="G158" s="41"/>
      <c r="H158" s="41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</row>
    <row r="159" ht="15.75" customHeight="1">
      <c r="A159" s="59"/>
      <c r="B159" s="203" t="s">
        <v>268</v>
      </c>
      <c r="C159" s="242">
        <f t="shared" si="0"/>
        <v>4.1</v>
      </c>
      <c r="D159" s="201"/>
      <c r="E159" s="32"/>
      <c r="F159" s="32"/>
      <c r="G159" s="41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</row>
    <row r="160" ht="15.75" customHeight="1">
      <c r="A160" s="32"/>
      <c r="B160" s="205"/>
      <c r="C160" s="206"/>
      <c r="D160" s="207"/>
      <c r="E160" s="32"/>
      <c r="F160" s="32"/>
      <c r="G160" s="41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</row>
    <row r="161" ht="15.75" customHeight="1">
      <c r="A161" s="32"/>
      <c r="B161" s="32"/>
      <c r="C161" s="41"/>
      <c r="D161" s="32"/>
      <c r="E161" s="32"/>
      <c r="F161" s="32"/>
      <c r="G161" s="41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</row>
    <row r="162" ht="15.75" customHeight="1">
      <c r="A162" s="32"/>
      <c r="B162" s="32"/>
      <c r="C162" s="41"/>
      <c r="D162" s="32"/>
      <c r="E162" s="32"/>
      <c r="F162" s="32"/>
      <c r="G162" s="41"/>
      <c r="H162" s="41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</row>
    <row r="163" ht="15.75" customHeight="1">
      <c r="A163" s="32"/>
      <c r="B163" s="208"/>
      <c r="C163" s="209"/>
      <c r="D163" s="210"/>
      <c r="E163" s="32"/>
      <c r="F163" s="49"/>
      <c r="G163" s="49"/>
      <c r="H163" s="49"/>
      <c r="I163" s="49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</row>
    <row r="164" ht="15.75" customHeight="1">
      <c r="A164" s="39"/>
      <c r="B164" s="243" t="s">
        <v>323</v>
      </c>
      <c r="C164" s="37"/>
      <c r="D164" s="194"/>
      <c r="E164" s="32"/>
      <c r="F164" s="32"/>
      <c r="G164" s="41"/>
      <c r="H164" s="41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</row>
    <row r="165" ht="15.75" customHeight="1">
      <c r="A165" s="32"/>
      <c r="B165" s="195"/>
      <c r="C165" s="41"/>
      <c r="D165" s="196"/>
      <c r="E165" s="32"/>
      <c r="F165" s="32"/>
      <c r="G165" s="41"/>
      <c r="H165" s="41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</row>
    <row r="166" ht="15.75" customHeight="1">
      <c r="A166" s="32"/>
      <c r="B166" s="195" t="s">
        <v>282</v>
      </c>
      <c r="C166" s="41"/>
      <c r="D166" s="20"/>
      <c r="E166" s="32"/>
      <c r="F166" s="32"/>
      <c r="G166" s="41"/>
      <c r="H166" s="41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</row>
    <row r="167" ht="15.75" customHeight="1">
      <c r="A167" s="32"/>
      <c r="B167" s="195" t="s">
        <v>299</v>
      </c>
      <c r="C167" s="41"/>
      <c r="D167" s="20"/>
      <c r="E167" s="32"/>
      <c r="F167" s="32"/>
      <c r="G167" s="41"/>
      <c r="H167" s="41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</row>
    <row r="168" ht="15.75" customHeight="1">
      <c r="A168" s="32"/>
      <c r="B168" s="195" t="s">
        <v>105</v>
      </c>
      <c r="C168" s="41"/>
      <c r="D168" s="20"/>
      <c r="E168" s="32"/>
      <c r="F168" s="32"/>
      <c r="G168" s="41"/>
      <c r="H168" s="41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</row>
    <row r="169" ht="15.75" customHeight="1">
      <c r="A169" s="32"/>
      <c r="B169" s="195" t="s">
        <v>324</v>
      </c>
      <c r="C169" s="41"/>
      <c r="D169" s="196"/>
      <c r="E169" s="32"/>
      <c r="F169" s="32"/>
      <c r="G169" s="41"/>
      <c r="H169" s="41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</row>
    <row r="170" ht="15.75" customHeight="1">
      <c r="A170" s="32"/>
      <c r="B170" s="195"/>
      <c r="C170" s="41"/>
      <c r="D170" s="196"/>
      <c r="E170" s="32"/>
      <c r="F170" s="32"/>
      <c r="G170" s="41"/>
      <c r="H170" s="41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</row>
    <row r="171" ht="15.75" customHeight="1">
      <c r="A171" s="49"/>
      <c r="B171" s="244" t="s">
        <v>78</v>
      </c>
      <c r="C171" s="245" t="s">
        <v>249</v>
      </c>
      <c r="D171" s="246" t="s">
        <v>81</v>
      </c>
      <c r="E171" s="41"/>
      <c r="F171" s="32"/>
      <c r="G171" s="41"/>
      <c r="H171" s="41"/>
      <c r="I171" s="32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</row>
    <row r="172" ht="15.75" customHeight="1">
      <c r="A172" s="32"/>
      <c r="B172" s="200" t="s">
        <v>250</v>
      </c>
      <c r="C172" s="51">
        <v>4</v>
      </c>
      <c r="D172" s="201" t="s">
        <v>325</v>
      </c>
      <c r="E172" s="32"/>
      <c r="F172" s="32"/>
      <c r="G172" s="41"/>
      <c r="H172" s="41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</row>
    <row r="173" ht="15.75" customHeight="1">
      <c r="A173" s="32"/>
      <c r="B173" s="200" t="s">
        <v>252</v>
      </c>
      <c r="C173" s="51">
        <v>5</v>
      </c>
      <c r="D173" s="201" t="s">
        <v>326</v>
      </c>
      <c r="E173" s="32"/>
      <c r="F173" s="32"/>
      <c r="G173" s="202"/>
      <c r="H173" s="247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</row>
    <row r="174" ht="15.75" customHeight="1">
      <c r="A174" s="32"/>
      <c r="B174" s="200" t="s">
        <v>253</v>
      </c>
      <c r="C174" s="51">
        <v>3</v>
      </c>
      <c r="D174" s="201" t="s">
        <v>327</v>
      </c>
      <c r="E174" s="32"/>
      <c r="F174" s="32"/>
      <c r="G174" s="7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</row>
    <row r="175" ht="15.75" customHeight="1">
      <c r="A175" s="32"/>
      <c r="B175" s="200" t="s">
        <v>255</v>
      </c>
      <c r="C175" s="51">
        <v>4</v>
      </c>
      <c r="D175" s="201" t="s">
        <v>328</v>
      </c>
      <c r="E175" s="32"/>
      <c r="F175" s="32"/>
      <c r="G175" s="41"/>
      <c r="H175" s="41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</row>
    <row r="176" ht="15.75" customHeight="1">
      <c r="A176" s="32"/>
      <c r="B176" s="200" t="s">
        <v>256</v>
      </c>
      <c r="C176" s="51">
        <v>5</v>
      </c>
      <c r="D176" s="201" t="s">
        <v>329</v>
      </c>
      <c r="E176" s="32"/>
      <c r="F176" s="32"/>
      <c r="G176" s="41"/>
      <c r="H176" s="41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</row>
    <row r="177" ht="15.75" customHeight="1">
      <c r="A177" s="32"/>
      <c r="B177" s="200" t="s">
        <v>258</v>
      </c>
      <c r="C177" s="51">
        <v>4</v>
      </c>
      <c r="D177" s="201" t="s">
        <v>330</v>
      </c>
      <c r="E177" s="32"/>
      <c r="F177" s="32"/>
      <c r="G177" s="41"/>
      <c r="H177" s="41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</row>
    <row r="178" ht="15.75" customHeight="1">
      <c r="A178" s="32"/>
      <c r="B178" s="200" t="s">
        <v>260</v>
      </c>
      <c r="C178" s="231">
        <v>3</v>
      </c>
      <c r="D178" s="201" t="s">
        <v>331</v>
      </c>
      <c r="E178" s="32"/>
      <c r="F178" s="32"/>
      <c r="G178" s="41"/>
      <c r="H178" s="41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</row>
    <row r="179" ht="15.75" customHeight="1">
      <c r="A179" s="32"/>
      <c r="B179" s="200" t="s">
        <v>262</v>
      </c>
      <c r="C179" s="51">
        <v>4</v>
      </c>
      <c r="D179" s="201" t="s">
        <v>332</v>
      </c>
      <c r="E179" s="32"/>
      <c r="F179" s="39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</row>
    <row r="180" ht="15.75" customHeight="1">
      <c r="A180" s="32"/>
      <c r="B180" s="200" t="s">
        <v>264</v>
      </c>
      <c r="C180" s="51">
        <v>4</v>
      </c>
      <c r="D180" s="201" t="s">
        <v>333</v>
      </c>
      <c r="E180" s="32"/>
      <c r="F180" s="32"/>
      <c r="G180" s="41"/>
      <c r="H180" s="41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</row>
    <row r="181" ht="15.75" customHeight="1">
      <c r="A181" s="32"/>
      <c r="B181" s="200" t="s">
        <v>266</v>
      </c>
      <c r="C181" s="51">
        <v>4</v>
      </c>
      <c r="D181" s="201" t="s">
        <v>334</v>
      </c>
      <c r="E181" s="32"/>
      <c r="F181" s="32"/>
      <c r="G181" s="41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</row>
    <row r="182" ht="15.75" customHeight="1">
      <c r="A182" s="59"/>
      <c r="B182" s="203" t="s">
        <v>268</v>
      </c>
      <c r="C182" s="248">
        <f t="shared" si="0"/>
        <v>4</v>
      </c>
      <c r="D182" s="201"/>
      <c r="E182" s="32"/>
      <c r="F182" s="32"/>
      <c r="G182" s="41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</row>
    <row r="183" ht="15.75" customHeight="1">
      <c r="A183" s="32"/>
      <c r="B183" s="205"/>
      <c r="C183" s="206"/>
      <c r="D183" s="207"/>
      <c r="E183" s="32"/>
      <c r="F183" s="32"/>
      <c r="G183" s="41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</row>
    <row r="184" ht="15.75" customHeight="1">
      <c r="A184" s="32"/>
      <c r="B184" s="32"/>
      <c r="C184" s="41"/>
      <c r="D184" s="32"/>
      <c r="E184" s="32"/>
      <c r="F184" s="32"/>
      <c r="G184" s="41"/>
      <c r="H184" s="41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</row>
    <row r="185" ht="15.75" customHeight="1">
      <c r="A185" s="32"/>
      <c r="B185" s="32"/>
      <c r="C185" s="41"/>
      <c r="D185" s="32"/>
      <c r="E185" s="32"/>
      <c r="F185" s="49"/>
      <c r="G185" s="49"/>
      <c r="H185" s="49"/>
      <c r="I185" s="49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</row>
    <row r="186" ht="15.75" customHeight="1">
      <c r="A186" s="32"/>
      <c r="B186" s="208"/>
      <c r="C186" s="209"/>
      <c r="D186" s="210"/>
      <c r="E186" s="32"/>
      <c r="F186" s="32"/>
      <c r="G186" s="41"/>
      <c r="H186" s="41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</row>
    <row r="187" ht="15.75" customHeight="1">
      <c r="A187" s="39"/>
      <c r="B187" s="249" t="s">
        <v>335</v>
      </c>
      <c r="C187" s="37"/>
      <c r="D187" s="194"/>
      <c r="E187" s="32"/>
      <c r="F187" s="32"/>
      <c r="G187" s="41"/>
      <c r="H187" s="41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</row>
    <row r="188" ht="15.75" customHeight="1">
      <c r="A188" s="32"/>
      <c r="B188" s="195"/>
      <c r="C188" s="41"/>
      <c r="D188" s="196"/>
      <c r="E188" s="32"/>
      <c r="F188" s="32"/>
      <c r="G188" s="41"/>
      <c r="H188" s="41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</row>
    <row r="189" ht="15.75" customHeight="1">
      <c r="A189" s="32"/>
      <c r="B189" s="195" t="s">
        <v>282</v>
      </c>
      <c r="C189" s="41"/>
      <c r="D189" s="20"/>
      <c r="E189" s="32"/>
      <c r="F189" s="32"/>
      <c r="G189" s="41"/>
      <c r="H189" s="41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</row>
    <row r="190" ht="15.75" customHeight="1">
      <c r="A190" s="32"/>
      <c r="B190" s="195" t="s">
        <v>336</v>
      </c>
      <c r="C190" s="41"/>
      <c r="D190" s="20"/>
      <c r="E190" s="32"/>
      <c r="F190" s="32"/>
      <c r="G190" s="41"/>
      <c r="H190" s="41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</row>
    <row r="191" ht="15.75" customHeight="1">
      <c r="A191" s="32"/>
      <c r="B191" s="195" t="s">
        <v>105</v>
      </c>
      <c r="C191" s="41"/>
      <c r="D191" s="20"/>
      <c r="E191" s="32"/>
      <c r="F191" s="32"/>
      <c r="G191" s="41"/>
      <c r="H191" s="41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</row>
    <row r="192" ht="15.75" customHeight="1">
      <c r="A192" s="32"/>
      <c r="B192" s="195" t="s">
        <v>337</v>
      </c>
      <c r="C192" s="41"/>
      <c r="D192" s="196"/>
      <c r="E192" s="32"/>
      <c r="F192" s="32"/>
      <c r="G192" s="41"/>
      <c r="H192" s="41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</row>
    <row r="193" ht="15.75" customHeight="1">
      <c r="A193" s="32"/>
      <c r="B193" s="195"/>
      <c r="C193" s="41"/>
      <c r="D193" s="196"/>
      <c r="E193" s="32"/>
      <c r="F193" s="32"/>
      <c r="G193" s="41"/>
      <c r="H193" s="41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</row>
    <row r="194" ht="15.75" customHeight="1">
      <c r="A194" s="49"/>
      <c r="B194" s="250" t="s">
        <v>78</v>
      </c>
      <c r="C194" s="251" t="s">
        <v>249</v>
      </c>
      <c r="D194" s="252" t="s">
        <v>81</v>
      </c>
      <c r="E194" s="41"/>
      <c r="F194" s="32"/>
      <c r="G194" s="41"/>
      <c r="H194" s="41"/>
      <c r="I194" s="32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</row>
    <row r="195" ht="15.75" customHeight="1">
      <c r="A195" s="32"/>
      <c r="B195" s="200" t="s">
        <v>250</v>
      </c>
      <c r="C195" s="51">
        <v>5</v>
      </c>
      <c r="D195" s="201" t="s">
        <v>338</v>
      </c>
      <c r="E195" s="32"/>
      <c r="F195" s="32"/>
      <c r="G195" s="215"/>
      <c r="H195" s="41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</row>
    <row r="196" ht="15.75" customHeight="1">
      <c r="A196" s="32"/>
      <c r="B196" s="200" t="s">
        <v>252</v>
      </c>
      <c r="C196" s="51">
        <v>5</v>
      </c>
      <c r="D196" s="201" t="s">
        <v>339</v>
      </c>
      <c r="E196" s="32"/>
      <c r="F196" s="32"/>
      <c r="G196" s="7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</row>
    <row r="197" ht="15.75" customHeight="1">
      <c r="A197" s="32"/>
      <c r="B197" s="200" t="s">
        <v>253</v>
      </c>
      <c r="C197" s="51">
        <v>5</v>
      </c>
      <c r="D197" s="201" t="s">
        <v>340</v>
      </c>
      <c r="E197" s="32"/>
      <c r="F197" s="32"/>
      <c r="G197" s="41"/>
      <c r="H197" s="41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</row>
    <row r="198" ht="15.75" customHeight="1">
      <c r="A198" s="32"/>
      <c r="B198" s="200" t="s">
        <v>255</v>
      </c>
      <c r="C198" s="51">
        <v>5</v>
      </c>
      <c r="D198" s="201" t="s">
        <v>341</v>
      </c>
      <c r="E198" s="32"/>
      <c r="F198" s="32"/>
      <c r="G198" s="41"/>
      <c r="H198" s="41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</row>
    <row r="199" ht="15.75" customHeight="1">
      <c r="A199" s="32"/>
      <c r="B199" s="200" t="s">
        <v>256</v>
      </c>
      <c r="C199" s="51">
        <v>5</v>
      </c>
      <c r="D199" s="201" t="s">
        <v>342</v>
      </c>
      <c r="E199" s="32"/>
      <c r="F199" s="32"/>
      <c r="G199" s="41"/>
      <c r="H199" s="41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</row>
    <row r="200" ht="15.75" customHeight="1">
      <c r="A200" s="32"/>
      <c r="B200" s="200" t="s">
        <v>258</v>
      </c>
      <c r="C200" s="51">
        <v>5</v>
      </c>
      <c r="D200" s="201" t="s">
        <v>343</v>
      </c>
      <c r="E200" s="32"/>
      <c r="F200" s="32"/>
      <c r="G200" s="41"/>
      <c r="H200" s="41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</row>
    <row r="201" ht="15.75" customHeight="1">
      <c r="A201" s="32"/>
      <c r="B201" s="200" t="s">
        <v>260</v>
      </c>
      <c r="C201" s="51">
        <v>5</v>
      </c>
      <c r="D201" s="201" t="s">
        <v>344</v>
      </c>
      <c r="E201" s="32"/>
      <c r="F201" s="39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</row>
    <row r="202" ht="15.75" customHeight="1">
      <c r="A202" s="32"/>
      <c r="B202" s="200" t="s">
        <v>262</v>
      </c>
      <c r="C202" s="51">
        <v>5</v>
      </c>
      <c r="D202" s="201" t="s">
        <v>345</v>
      </c>
      <c r="E202" s="32"/>
      <c r="F202" s="32"/>
      <c r="G202" s="41"/>
      <c r="H202" s="41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</row>
    <row r="203" ht="15.75" customHeight="1">
      <c r="A203" s="32"/>
      <c r="B203" s="200" t="s">
        <v>264</v>
      </c>
      <c r="C203" s="51">
        <v>5</v>
      </c>
      <c r="D203" s="201" t="s">
        <v>346</v>
      </c>
      <c r="E203" s="32"/>
      <c r="F203" s="32"/>
      <c r="G203" s="41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</row>
    <row r="204" ht="15.75" customHeight="1">
      <c r="A204" s="32"/>
      <c r="B204" s="200" t="s">
        <v>266</v>
      </c>
      <c r="C204" s="51">
        <v>5</v>
      </c>
      <c r="D204" s="201" t="s">
        <v>347</v>
      </c>
      <c r="E204" s="32"/>
      <c r="F204" s="32"/>
      <c r="G204" s="41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</row>
    <row r="205" ht="15.75" customHeight="1">
      <c r="A205" s="59"/>
      <c r="B205" s="203" t="s">
        <v>268</v>
      </c>
      <c r="C205" s="253">
        <f t="shared" si="0"/>
        <v>5</v>
      </c>
      <c r="D205" s="201"/>
      <c r="E205" s="32"/>
      <c r="F205" s="32"/>
      <c r="G205" s="41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</row>
    <row r="206" ht="15.75" customHeight="1">
      <c r="A206" s="32"/>
      <c r="B206" s="205"/>
      <c r="C206" s="206"/>
      <c r="D206" s="207"/>
      <c r="E206" s="32"/>
      <c r="F206" s="32"/>
      <c r="G206" s="41"/>
      <c r="H206" s="41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</row>
    <row r="207" ht="15.75" customHeight="1">
      <c r="A207" s="32"/>
      <c r="B207" s="32"/>
      <c r="C207" s="41"/>
      <c r="D207" s="32"/>
      <c r="E207" s="32"/>
      <c r="F207" s="49"/>
      <c r="G207" s="49"/>
      <c r="H207" s="49"/>
      <c r="I207" s="49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</row>
    <row r="208" ht="15.75" customHeight="1">
      <c r="A208" s="32"/>
      <c r="B208" s="32"/>
      <c r="C208" s="41"/>
      <c r="D208" s="32"/>
      <c r="E208" s="32"/>
      <c r="F208" s="32"/>
      <c r="G208" s="41"/>
      <c r="H208" s="41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</row>
    <row r="209" ht="15.75" customHeight="1">
      <c r="A209" s="32"/>
      <c r="B209" s="208"/>
      <c r="C209" s="209"/>
      <c r="D209" s="210"/>
      <c r="E209" s="32"/>
      <c r="F209" s="32"/>
      <c r="G209" s="41"/>
      <c r="H209" s="41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</row>
    <row r="210" ht="15.75" customHeight="1">
      <c r="A210" s="39"/>
      <c r="B210" s="254" t="s">
        <v>348</v>
      </c>
      <c r="C210" s="37"/>
      <c r="D210" s="194"/>
      <c r="E210" s="32"/>
      <c r="F210" s="32"/>
      <c r="G210" s="41"/>
      <c r="H210" s="41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</row>
    <row r="211" ht="15.75" customHeight="1">
      <c r="A211" s="32"/>
      <c r="B211" s="195"/>
      <c r="C211" s="41"/>
      <c r="D211" s="196"/>
      <c r="E211" s="32"/>
      <c r="F211" s="32"/>
      <c r="G211" s="41"/>
      <c r="H211" s="41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</row>
    <row r="212" ht="15.75" customHeight="1">
      <c r="A212" s="32"/>
      <c r="B212" s="195" t="s">
        <v>282</v>
      </c>
      <c r="C212" s="41"/>
      <c r="D212" s="20"/>
      <c r="E212" s="32"/>
      <c r="F212" s="32"/>
      <c r="G212" s="41"/>
      <c r="H212" s="41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</row>
    <row r="213" ht="15.75" customHeight="1">
      <c r="A213" s="32"/>
      <c r="B213" s="195" t="s">
        <v>196</v>
      </c>
      <c r="C213" s="41"/>
      <c r="D213" s="20"/>
      <c r="E213" s="32"/>
      <c r="F213" s="32"/>
      <c r="G213" s="41"/>
      <c r="H213" s="41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</row>
    <row r="214" ht="15.75" customHeight="1">
      <c r="A214" s="32"/>
      <c r="B214" s="195" t="s">
        <v>105</v>
      </c>
      <c r="C214" s="41"/>
      <c r="D214" s="20"/>
      <c r="E214" s="32"/>
      <c r="F214" s="32"/>
      <c r="G214" s="41"/>
      <c r="H214" s="41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</row>
    <row r="215" ht="15.75" customHeight="1">
      <c r="A215" s="32"/>
      <c r="B215" s="195" t="s">
        <v>349</v>
      </c>
      <c r="C215" s="41"/>
      <c r="D215" s="196"/>
      <c r="E215" s="32"/>
      <c r="F215" s="32"/>
      <c r="G215" s="41"/>
      <c r="H215" s="41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</row>
    <row r="216" ht="15.75" customHeight="1">
      <c r="A216" s="32"/>
      <c r="B216" s="195"/>
      <c r="C216" s="41"/>
      <c r="D216" s="196"/>
      <c r="E216" s="32"/>
      <c r="F216" s="32"/>
      <c r="G216" s="41"/>
      <c r="H216" s="41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</row>
    <row r="217" ht="15.75" customHeight="1">
      <c r="A217" s="49"/>
      <c r="B217" s="255" t="s">
        <v>78</v>
      </c>
      <c r="C217" s="256" t="s">
        <v>249</v>
      </c>
      <c r="D217" s="257" t="s">
        <v>81</v>
      </c>
      <c r="E217" s="41"/>
      <c r="F217" s="32"/>
      <c r="G217" s="215"/>
      <c r="H217" s="41"/>
      <c r="I217" s="32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</row>
    <row r="218" ht="15.75" customHeight="1">
      <c r="A218" s="32"/>
      <c r="B218" s="200" t="s">
        <v>250</v>
      </c>
      <c r="C218" s="51">
        <v>5</v>
      </c>
      <c r="D218" s="201" t="s">
        <v>350</v>
      </c>
      <c r="E218" s="32"/>
      <c r="F218" s="32"/>
      <c r="G218" s="7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</row>
    <row r="219" ht="15.75" customHeight="1">
      <c r="A219" s="32"/>
      <c r="B219" s="200" t="s">
        <v>252</v>
      </c>
      <c r="C219" s="51">
        <v>5</v>
      </c>
      <c r="D219" s="201" t="s">
        <v>351</v>
      </c>
      <c r="E219" s="32"/>
      <c r="F219" s="32"/>
      <c r="G219" s="41"/>
      <c r="H219" s="41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</row>
    <row r="220" ht="15.75" customHeight="1">
      <c r="A220" s="32"/>
      <c r="B220" s="200" t="s">
        <v>253</v>
      </c>
      <c r="C220" s="51">
        <v>4</v>
      </c>
      <c r="D220" s="201" t="s">
        <v>352</v>
      </c>
      <c r="E220" s="32"/>
      <c r="F220" s="32"/>
      <c r="G220" s="41"/>
      <c r="H220" s="41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</row>
    <row r="221" ht="15.75" customHeight="1">
      <c r="A221" s="32"/>
      <c r="B221" s="200" t="s">
        <v>255</v>
      </c>
      <c r="C221" s="51">
        <v>5</v>
      </c>
      <c r="D221" s="201" t="s">
        <v>353</v>
      </c>
      <c r="E221" s="32"/>
      <c r="F221" s="32"/>
      <c r="G221" s="41"/>
      <c r="H221" s="41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</row>
    <row r="222" ht="15.75" customHeight="1">
      <c r="A222" s="32"/>
      <c r="B222" s="200" t="s">
        <v>256</v>
      </c>
      <c r="C222" s="51">
        <v>5</v>
      </c>
      <c r="D222" s="201" t="s">
        <v>354</v>
      </c>
      <c r="E222" s="32"/>
      <c r="F222" s="32"/>
      <c r="G222" s="41"/>
      <c r="H222" s="41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</row>
    <row r="223" ht="15.75" customHeight="1">
      <c r="A223" s="32"/>
      <c r="B223" s="200" t="s">
        <v>258</v>
      </c>
      <c r="C223" s="51">
        <v>5</v>
      </c>
      <c r="D223" s="201" t="s">
        <v>355</v>
      </c>
      <c r="E223" s="32"/>
      <c r="F223" s="39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</row>
    <row r="224" ht="15.75" customHeight="1">
      <c r="A224" s="32"/>
      <c r="B224" s="200" t="s">
        <v>260</v>
      </c>
      <c r="C224" s="231">
        <v>5</v>
      </c>
      <c r="D224" s="201" t="s">
        <v>356</v>
      </c>
      <c r="E224" s="32"/>
      <c r="F224" s="32"/>
      <c r="G224" s="41"/>
      <c r="H224" s="41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</row>
    <row r="225" ht="15.75" customHeight="1">
      <c r="A225" s="32"/>
      <c r="B225" s="200" t="s">
        <v>262</v>
      </c>
      <c r="C225" s="51">
        <v>5</v>
      </c>
      <c r="D225" s="201" t="s">
        <v>357</v>
      </c>
      <c r="E225" s="32"/>
      <c r="F225" s="32"/>
      <c r="G225" s="41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</row>
    <row r="226" ht="15.75" customHeight="1">
      <c r="A226" s="32"/>
      <c r="B226" s="200" t="s">
        <v>264</v>
      </c>
      <c r="C226" s="51">
        <v>5</v>
      </c>
      <c r="D226" s="201" t="s">
        <v>358</v>
      </c>
      <c r="E226" s="32"/>
      <c r="F226" s="32"/>
      <c r="G226" s="41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</row>
    <row r="227" ht="15.75" customHeight="1">
      <c r="A227" s="32"/>
      <c r="B227" s="200" t="s">
        <v>266</v>
      </c>
      <c r="C227" s="51">
        <v>5</v>
      </c>
      <c r="D227" s="201" t="s">
        <v>359</v>
      </c>
      <c r="E227" s="32"/>
      <c r="F227" s="32"/>
      <c r="G227" s="41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</row>
    <row r="228" ht="15.75" customHeight="1">
      <c r="A228" s="59"/>
      <c r="B228" s="203" t="s">
        <v>268</v>
      </c>
      <c r="C228" s="258">
        <f t="shared" si="0"/>
        <v>4.9</v>
      </c>
      <c r="D228" s="201"/>
      <c r="E228" s="32"/>
      <c r="F228" s="32"/>
      <c r="G228" s="41"/>
      <c r="H228" s="41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</row>
    <row r="229" ht="15.75" customHeight="1">
      <c r="A229" s="32"/>
      <c r="B229" s="205"/>
      <c r="C229" s="206"/>
      <c r="D229" s="207"/>
      <c r="E229" s="32"/>
      <c r="F229" s="49"/>
      <c r="G229" s="49"/>
      <c r="H229" s="49"/>
      <c r="I229" s="49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</row>
    <row r="230" ht="15.75" customHeight="1">
      <c r="A230" s="32"/>
      <c r="B230" s="32"/>
      <c r="C230" s="41"/>
      <c r="D230" s="32"/>
      <c r="E230" s="32"/>
      <c r="F230" s="32"/>
      <c r="G230" s="41"/>
      <c r="H230" s="41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</row>
    <row r="231" ht="15.75" customHeight="1">
      <c r="A231" s="32"/>
      <c r="B231" s="32"/>
      <c r="C231" s="41"/>
      <c r="D231" s="32"/>
      <c r="E231" s="32"/>
      <c r="F231" s="32"/>
      <c r="G231" s="41"/>
      <c r="H231" s="41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</row>
    <row r="232" ht="15.75" customHeight="1">
      <c r="A232" s="32"/>
      <c r="B232" s="208"/>
      <c r="C232" s="209"/>
      <c r="D232" s="210"/>
      <c r="E232" s="32"/>
      <c r="F232" s="32"/>
      <c r="G232" s="41"/>
      <c r="H232" s="41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</row>
    <row r="233" ht="15.75" customHeight="1">
      <c r="A233" s="39"/>
      <c r="B233" s="259" t="s">
        <v>360</v>
      </c>
      <c r="C233" s="37"/>
      <c r="D233" s="194"/>
      <c r="E233" s="32"/>
      <c r="F233" s="32"/>
      <c r="G233" s="41"/>
      <c r="H233" s="41"/>
      <c r="I233" s="260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</row>
    <row r="234" ht="15.75" customHeight="1">
      <c r="A234" s="32"/>
      <c r="B234" s="195"/>
      <c r="C234" s="41"/>
      <c r="D234" s="196"/>
      <c r="E234" s="32"/>
      <c r="F234" s="32"/>
      <c r="G234" s="41"/>
      <c r="H234" s="41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</row>
    <row r="235" ht="15.75" customHeight="1">
      <c r="A235" s="32"/>
      <c r="B235" s="195" t="s">
        <v>282</v>
      </c>
      <c r="C235" s="41"/>
      <c r="D235" s="20"/>
      <c r="E235" s="32"/>
      <c r="F235" s="32"/>
      <c r="G235" s="41"/>
      <c r="H235" s="41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</row>
    <row r="236" ht="15.75" customHeight="1">
      <c r="A236" s="32"/>
      <c r="B236" s="195" t="s">
        <v>196</v>
      </c>
      <c r="C236" s="41"/>
      <c r="D236" s="20"/>
      <c r="E236" s="32"/>
      <c r="F236" s="32"/>
      <c r="G236" s="41"/>
      <c r="H236" s="41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</row>
    <row r="237" ht="15.75" customHeight="1">
      <c r="A237" s="32"/>
      <c r="B237" s="195" t="s">
        <v>105</v>
      </c>
      <c r="C237" s="41"/>
      <c r="D237" s="20"/>
      <c r="E237" s="32"/>
      <c r="F237" s="32"/>
      <c r="G237" s="41"/>
      <c r="H237" s="41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</row>
    <row r="238" ht="15.75" customHeight="1">
      <c r="A238" s="32"/>
      <c r="B238" s="195" t="s">
        <v>361</v>
      </c>
      <c r="C238" s="41"/>
      <c r="D238" s="196"/>
      <c r="E238" s="32"/>
      <c r="F238" s="32"/>
      <c r="G238" s="41"/>
      <c r="H238" s="41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</row>
    <row r="239" ht="15.75" customHeight="1">
      <c r="A239" s="32"/>
      <c r="B239" s="195"/>
      <c r="C239" s="41"/>
      <c r="D239" s="196"/>
      <c r="E239" s="32"/>
      <c r="F239" s="32"/>
      <c r="G239" s="215"/>
      <c r="H239" s="41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</row>
    <row r="240" ht="15.75" customHeight="1">
      <c r="A240" s="49"/>
      <c r="B240" s="261" t="s">
        <v>78</v>
      </c>
      <c r="C240" s="262" t="s">
        <v>249</v>
      </c>
      <c r="D240" s="263" t="s">
        <v>81</v>
      </c>
      <c r="E240" s="41"/>
      <c r="F240" s="32"/>
      <c r="G240" s="72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</row>
    <row r="241" ht="15.75" customHeight="1">
      <c r="A241" s="32"/>
      <c r="B241" s="200" t="s">
        <v>250</v>
      </c>
      <c r="C241" s="51">
        <v>5</v>
      </c>
      <c r="D241" s="201" t="s">
        <v>362</v>
      </c>
      <c r="E241" s="32"/>
      <c r="F241" s="32"/>
      <c r="G241" s="41"/>
      <c r="H241" s="41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</row>
    <row r="242" ht="15.75" customHeight="1">
      <c r="A242" s="32"/>
      <c r="B242" s="200" t="s">
        <v>252</v>
      </c>
      <c r="C242" s="51">
        <v>5</v>
      </c>
      <c r="D242" s="201" t="s">
        <v>363</v>
      </c>
      <c r="E242" s="32"/>
      <c r="F242" s="32"/>
      <c r="G242" s="41"/>
      <c r="H242" s="41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</row>
    <row r="243" ht="15.75" customHeight="1">
      <c r="A243" s="32"/>
      <c r="B243" s="200" t="s">
        <v>253</v>
      </c>
      <c r="C243" s="51">
        <v>5</v>
      </c>
      <c r="D243" s="201" t="s">
        <v>364</v>
      </c>
      <c r="E243" s="32"/>
      <c r="F243" s="32"/>
      <c r="G243" s="41"/>
      <c r="H243" s="41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</row>
    <row r="244" ht="15.75" customHeight="1">
      <c r="A244" s="32"/>
      <c r="B244" s="200" t="s">
        <v>255</v>
      </c>
      <c r="C244" s="51">
        <v>4</v>
      </c>
      <c r="D244" s="201" t="s">
        <v>365</v>
      </c>
      <c r="E244" s="32"/>
      <c r="F244" s="264"/>
      <c r="G244" s="265"/>
      <c r="H244" s="265"/>
      <c r="I244" s="266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</row>
    <row r="245" ht="15.75" customHeight="1">
      <c r="A245" s="32"/>
      <c r="B245" s="200" t="s">
        <v>256</v>
      </c>
      <c r="C245" s="51">
        <v>5</v>
      </c>
      <c r="D245" s="201" t="s">
        <v>366</v>
      </c>
      <c r="E245" s="32"/>
      <c r="F245" s="267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</row>
    <row r="246" ht="15.75" customHeight="1">
      <c r="A246" s="32"/>
      <c r="B246" s="200" t="s">
        <v>258</v>
      </c>
      <c r="C246" s="51">
        <v>5</v>
      </c>
      <c r="D246" s="201" t="s">
        <v>367</v>
      </c>
      <c r="E246" s="32"/>
      <c r="F246" s="264"/>
      <c r="G246" s="265"/>
      <c r="H246" s="265"/>
      <c r="I246" s="266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</row>
    <row r="247" ht="15.75" customHeight="1">
      <c r="A247" s="32"/>
      <c r="B247" s="200" t="s">
        <v>260</v>
      </c>
      <c r="C247" s="231">
        <v>4</v>
      </c>
      <c r="D247" s="201" t="s">
        <v>368</v>
      </c>
      <c r="E247" s="32"/>
      <c r="F247" s="264"/>
      <c r="G247" s="265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</row>
    <row r="248" ht="15.75" customHeight="1">
      <c r="A248" s="32"/>
      <c r="B248" s="200" t="s">
        <v>262</v>
      </c>
      <c r="C248" s="51">
        <v>5</v>
      </c>
      <c r="D248" s="201" t="s">
        <v>369</v>
      </c>
      <c r="E248" s="32"/>
      <c r="F248" s="264"/>
      <c r="G248" s="265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</row>
    <row r="249" ht="15.75" customHeight="1">
      <c r="A249" s="32"/>
      <c r="B249" s="200" t="s">
        <v>264</v>
      </c>
      <c r="C249" s="51">
        <v>5</v>
      </c>
      <c r="D249" s="201" t="s">
        <v>370</v>
      </c>
      <c r="E249" s="32"/>
      <c r="F249" s="264"/>
      <c r="G249" s="265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</row>
    <row r="250" ht="15.75" customHeight="1">
      <c r="A250" s="32"/>
      <c r="B250" s="200" t="s">
        <v>266</v>
      </c>
      <c r="C250" s="51">
        <v>5</v>
      </c>
      <c r="D250" s="201" t="s">
        <v>371</v>
      </c>
      <c r="E250" s="32"/>
      <c r="F250" s="264"/>
      <c r="G250" s="265"/>
      <c r="H250" s="265"/>
      <c r="I250" s="266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</row>
    <row r="251" ht="15.75" customHeight="1">
      <c r="A251" s="59"/>
      <c r="B251" s="203" t="s">
        <v>268</v>
      </c>
      <c r="C251" s="268">
        <f t="shared" si="0"/>
        <v>4.8</v>
      </c>
      <c r="D251" s="201"/>
      <c r="E251" s="32"/>
      <c r="F251" s="269"/>
      <c r="G251" s="269"/>
      <c r="H251" s="269"/>
      <c r="I251" s="270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</row>
    <row r="252" ht="15.75" customHeight="1">
      <c r="A252" s="32"/>
      <c r="B252" s="205"/>
      <c r="C252" s="206"/>
      <c r="D252" s="207"/>
      <c r="E252" s="32"/>
      <c r="F252" s="264"/>
      <c r="G252" s="265"/>
      <c r="H252" s="265"/>
      <c r="I252" s="266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</row>
    <row r="253" ht="15.75" customHeight="1">
      <c r="A253" s="32"/>
      <c r="B253" s="32"/>
      <c r="C253" s="41"/>
      <c r="D253" s="32"/>
      <c r="E253" s="32"/>
      <c r="F253" s="264"/>
      <c r="G253" s="265"/>
      <c r="H253" s="265"/>
      <c r="I253" s="266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</row>
    <row r="254" ht="15.75" customHeight="1">
      <c r="A254" s="32"/>
      <c r="B254" s="32"/>
      <c r="C254" s="41"/>
      <c r="D254" s="32"/>
      <c r="E254" s="32"/>
      <c r="F254" s="264"/>
      <c r="G254" s="265"/>
      <c r="H254" s="265"/>
      <c r="I254" s="266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</row>
    <row r="255" ht="15.75" customHeight="1">
      <c r="A255" s="32"/>
      <c r="B255" s="208"/>
      <c r="C255" s="209"/>
      <c r="D255" s="210"/>
      <c r="E255" s="32"/>
      <c r="F255" s="264"/>
      <c r="G255" s="265"/>
      <c r="H255" s="265"/>
      <c r="I255" s="266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</row>
    <row r="256" ht="15.75" customHeight="1">
      <c r="A256" s="39"/>
      <c r="B256" s="271" t="s">
        <v>372</v>
      </c>
      <c r="C256" s="37"/>
      <c r="D256" s="194"/>
      <c r="E256" s="32"/>
      <c r="F256" s="264"/>
      <c r="G256" s="265"/>
      <c r="H256" s="265"/>
      <c r="I256" s="266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</row>
    <row r="257" ht="15.75" customHeight="1">
      <c r="A257" s="32"/>
      <c r="B257" s="195"/>
      <c r="C257" s="41"/>
      <c r="D257" s="196"/>
      <c r="E257" s="32"/>
      <c r="F257" s="264"/>
      <c r="G257" s="265"/>
      <c r="H257" s="265"/>
      <c r="I257" s="266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</row>
    <row r="258" ht="15.75" customHeight="1">
      <c r="A258" s="32"/>
      <c r="B258" s="195" t="s">
        <v>282</v>
      </c>
      <c r="C258" s="41"/>
      <c r="D258" s="20"/>
      <c r="E258" s="32"/>
      <c r="F258" s="264"/>
      <c r="G258" s="265"/>
      <c r="H258" s="265"/>
      <c r="I258" s="266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</row>
    <row r="259" ht="15.75" customHeight="1">
      <c r="A259" s="32"/>
      <c r="B259" s="195" t="s">
        <v>373</v>
      </c>
      <c r="C259" s="41"/>
      <c r="D259" s="20"/>
      <c r="E259" s="32"/>
      <c r="F259" s="264"/>
      <c r="G259" s="265"/>
      <c r="H259" s="265"/>
      <c r="I259" s="266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</row>
    <row r="260" ht="15.75" customHeight="1">
      <c r="A260" s="32"/>
      <c r="B260" s="195" t="s">
        <v>105</v>
      </c>
      <c r="C260" s="41"/>
      <c r="D260" s="20"/>
      <c r="E260" s="32"/>
      <c r="F260" s="264"/>
      <c r="G260" s="265"/>
      <c r="H260" s="265"/>
      <c r="I260" s="266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</row>
    <row r="261" ht="15.75" customHeight="1">
      <c r="A261" s="32"/>
      <c r="B261" s="195" t="s">
        <v>374</v>
      </c>
      <c r="C261" s="41"/>
      <c r="D261" s="196"/>
      <c r="E261" s="32"/>
      <c r="F261" s="264"/>
      <c r="G261" s="272"/>
      <c r="H261" s="265"/>
      <c r="I261" s="266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</row>
    <row r="262" ht="15.75" customHeight="1">
      <c r="A262" s="32"/>
      <c r="B262" s="195"/>
      <c r="C262" s="41"/>
      <c r="D262" s="196"/>
      <c r="E262" s="32"/>
      <c r="F262" s="264"/>
      <c r="G262" s="273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</row>
    <row r="263" ht="15.75" customHeight="1">
      <c r="A263" s="49"/>
      <c r="B263" s="274" t="s">
        <v>78</v>
      </c>
      <c r="C263" s="275" t="s">
        <v>249</v>
      </c>
      <c r="D263" s="276" t="s">
        <v>81</v>
      </c>
      <c r="E263" s="41"/>
      <c r="F263" s="264"/>
      <c r="G263" s="265"/>
      <c r="H263" s="265"/>
      <c r="I263" s="266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</row>
    <row r="264" ht="15.75" customHeight="1">
      <c r="A264" s="32"/>
      <c r="B264" s="200" t="s">
        <v>250</v>
      </c>
      <c r="C264" s="51">
        <v>5</v>
      </c>
      <c r="D264" s="201" t="s">
        <v>251</v>
      </c>
      <c r="E264" s="32"/>
      <c r="F264" s="32"/>
      <c r="G264" s="41"/>
      <c r="H264" s="41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</row>
    <row r="265" ht="15.75" customHeight="1">
      <c r="A265" s="32"/>
      <c r="B265" s="200" t="s">
        <v>252</v>
      </c>
      <c r="C265" s="51">
        <v>5</v>
      </c>
      <c r="D265" s="201" t="s">
        <v>251</v>
      </c>
      <c r="E265" s="32"/>
      <c r="F265" s="32"/>
      <c r="G265" s="41"/>
      <c r="H265" s="41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</row>
    <row r="266" ht="15.75" customHeight="1">
      <c r="A266" s="32"/>
      <c r="B266" s="200" t="s">
        <v>253</v>
      </c>
      <c r="C266" s="51">
        <v>5</v>
      </c>
      <c r="D266" s="201" t="s">
        <v>251</v>
      </c>
      <c r="E266" s="32"/>
      <c r="F266" s="264"/>
      <c r="G266" s="265"/>
      <c r="H266" s="265"/>
      <c r="I266" s="266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</row>
    <row r="267" ht="15.75" customHeight="1">
      <c r="A267" s="32"/>
      <c r="B267" s="200" t="s">
        <v>255</v>
      </c>
      <c r="C267" s="51">
        <v>3</v>
      </c>
      <c r="D267" s="201" t="s">
        <v>375</v>
      </c>
      <c r="E267" s="32"/>
      <c r="F267" s="267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</row>
    <row r="268" ht="15.75" customHeight="1">
      <c r="A268" s="32"/>
      <c r="B268" s="200" t="s">
        <v>256</v>
      </c>
      <c r="C268" s="51">
        <v>4</v>
      </c>
      <c r="D268" s="201" t="s">
        <v>376</v>
      </c>
      <c r="E268" s="32"/>
      <c r="F268" s="264"/>
      <c r="G268" s="265"/>
      <c r="H268" s="265"/>
      <c r="I268" s="266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</row>
    <row r="269" ht="15.75" customHeight="1">
      <c r="A269" s="32"/>
      <c r="B269" s="200" t="s">
        <v>258</v>
      </c>
      <c r="C269" s="51">
        <v>4</v>
      </c>
      <c r="D269" s="201" t="s">
        <v>377</v>
      </c>
      <c r="E269" s="32"/>
      <c r="F269" s="264"/>
      <c r="G269" s="265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</row>
    <row r="270" ht="15.75" customHeight="1">
      <c r="A270" s="32"/>
      <c r="B270" s="200" t="s">
        <v>260</v>
      </c>
      <c r="C270" s="231">
        <v>5</v>
      </c>
      <c r="D270" s="201" t="s">
        <v>378</v>
      </c>
      <c r="E270" s="32"/>
      <c r="F270" s="264"/>
      <c r="G270" s="265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</row>
    <row r="271" ht="15.75" customHeight="1">
      <c r="A271" s="32"/>
      <c r="B271" s="200" t="s">
        <v>262</v>
      </c>
      <c r="C271" s="51">
        <v>4</v>
      </c>
      <c r="D271" s="201" t="s">
        <v>379</v>
      </c>
      <c r="E271" s="32"/>
      <c r="F271" s="264"/>
      <c r="G271" s="265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</row>
    <row r="272" ht="15.75" customHeight="1">
      <c r="A272" s="32"/>
      <c r="B272" s="200" t="s">
        <v>264</v>
      </c>
      <c r="C272" s="51">
        <v>5</v>
      </c>
      <c r="D272" s="201" t="s">
        <v>251</v>
      </c>
      <c r="E272" s="32"/>
      <c r="F272" s="264"/>
      <c r="G272" s="265"/>
      <c r="H272" s="265"/>
      <c r="I272" s="266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</row>
    <row r="273" ht="15.75" customHeight="1">
      <c r="A273" s="32"/>
      <c r="B273" s="200" t="s">
        <v>266</v>
      </c>
      <c r="C273" s="51">
        <v>5</v>
      </c>
      <c r="D273" s="201" t="s">
        <v>251</v>
      </c>
      <c r="E273" s="32"/>
      <c r="F273" s="269"/>
      <c r="G273" s="269"/>
      <c r="H273" s="269"/>
      <c r="I273" s="270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</row>
    <row r="274" ht="15.75" customHeight="1">
      <c r="A274" s="59"/>
      <c r="B274" s="203" t="s">
        <v>268</v>
      </c>
      <c r="C274" s="277">
        <f t="shared" si="0"/>
        <v>4.5</v>
      </c>
      <c r="D274" s="201"/>
      <c r="E274" s="32"/>
      <c r="F274" s="264"/>
      <c r="G274" s="265"/>
      <c r="H274" s="265"/>
      <c r="I274" s="266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</row>
    <row r="275" ht="15.75" customHeight="1">
      <c r="A275" s="32"/>
      <c r="B275" s="205"/>
      <c r="C275" s="206"/>
      <c r="D275" s="207"/>
      <c r="E275" s="32"/>
      <c r="F275" s="264"/>
      <c r="G275" s="265"/>
      <c r="H275" s="265"/>
      <c r="I275" s="266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</row>
    <row r="276" ht="15.75" customHeight="1">
      <c r="A276" s="32"/>
      <c r="B276" s="32"/>
      <c r="C276" s="41"/>
      <c r="D276" s="32"/>
      <c r="E276" s="32"/>
      <c r="F276" s="264"/>
      <c r="G276" s="265"/>
      <c r="H276" s="265"/>
      <c r="I276" s="266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</row>
    <row r="277" ht="15.75" customHeight="1">
      <c r="A277" s="32"/>
      <c r="B277" s="32"/>
      <c r="C277" s="41"/>
      <c r="D277" s="32"/>
      <c r="E277" s="32"/>
      <c r="F277" s="264"/>
      <c r="G277" s="265"/>
      <c r="H277" s="265"/>
      <c r="I277" s="266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</row>
    <row r="278" ht="15.75" customHeight="1">
      <c r="A278" s="32"/>
      <c r="B278" s="208"/>
      <c r="C278" s="209"/>
      <c r="D278" s="210"/>
      <c r="E278" s="32"/>
      <c r="F278" s="264"/>
      <c r="G278" s="265"/>
      <c r="H278" s="265"/>
      <c r="I278" s="266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</row>
    <row r="279" ht="15.75" customHeight="1">
      <c r="A279" s="39"/>
      <c r="B279" s="278" t="s">
        <v>380</v>
      </c>
      <c r="C279" s="37"/>
      <c r="D279" s="194"/>
      <c r="E279" s="32"/>
      <c r="F279" s="264"/>
      <c r="G279" s="265"/>
      <c r="H279" s="265"/>
      <c r="I279" s="266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</row>
    <row r="280" ht="15.75" customHeight="1">
      <c r="A280" s="32"/>
      <c r="B280" s="195"/>
      <c r="C280" s="41"/>
      <c r="D280" s="196"/>
      <c r="E280" s="32"/>
      <c r="F280" s="264"/>
      <c r="G280" s="265"/>
      <c r="H280" s="265"/>
      <c r="I280" s="266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</row>
    <row r="281" ht="15.75" customHeight="1">
      <c r="A281" s="32"/>
      <c r="B281" s="195" t="s">
        <v>282</v>
      </c>
      <c r="C281" s="41"/>
      <c r="D281" s="20"/>
      <c r="E281" s="32"/>
      <c r="F281" s="264"/>
      <c r="G281" s="265"/>
      <c r="H281" s="265"/>
      <c r="I281" s="266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</row>
    <row r="282" ht="15.75" customHeight="1">
      <c r="A282" s="32"/>
      <c r="B282" s="195" t="s">
        <v>373</v>
      </c>
      <c r="C282" s="41"/>
      <c r="D282" s="20"/>
      <c r="E282" s="32"/>
      <c r="F282" s="264"/>
      <c r="G282" s="265"/>
      <c r="H282" s="265"/>
      <c r="I282" s="266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</row>
    <row r="283" ht="15.75" customHeight="1">
      <c r="A283" s="32"/>
      <c r="B283" s="195" t="s">
        <v>105</v>
      </c>
      <c r="C283" s="41"/>
      <c r="D283" s="20"/>
      <c r="E283" s="32"/>
      <c r="F283" s="264"/>
      <c r="G283" s="272"/>
      <c r="H283" s="265"/>
      <c r="I283" s="266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</row>
    <row r="284" ht="15.75" customHeight="1">
      <c r="A284" s="32"/>
      <c r="B284" s="195" t="s">
        <v>381</v>
      </c>
      <c r="C284" s="41"/>
      <c r="D284" s="196"/>
      <c r="E284" s="32"/>
      <c r="F284" s="264"/>
      <c r="G284" s="273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</row>
    <row r="285" ht="15.75" customHeight="1">
      <c r="A285" s="32"/>
      <c r="B285" s="195"/>
      <c r="C285" s="41"/>
      <c r="D285" s="196"/>
      <c r="E285" s="32"/>
      <c r="F285" s="264"/>
      <c r="G285" s="265"/>
      <c r="H285" s="265"/>
      <c r="I285" s="266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</row>
    <row r="286" ht="15.75" customHeight="1">
      <c r="A286" s="49"/>
      <c r="B286" s="279" t="s">
        <v>78</v>
      </c>
      <c r="C286" s="280" t="s">
        <v>249</v>
      </c>
      <c r="D286" s="281" t="s">
        <v>81</v>
      </c>
      <c r="E286" s="41"/>
      <c r="F286" s="32"/>
      <c r="G286" s="41"/>
      <c r="H286" s="41"/>
      <c r="I286" s="32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</row>
    <row r="287" ht="15.75" customHeight="1">
      <c r="A287" s="32"/>
      <c r="B287" s="200" t="s">
        <v>250</v>
      </c>
      <c r="C287" s="51">
        <v>4</v>
      </c>
      <c r="D287" s="201" t="s">
        <v>251</v>
      </c>
      <c r="E287" s="32"/>
      <c r="F287" s="32"/>
      <c r="G287" s="41"/>
      <c r="H287" s="41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</row>
    <row r="288" ht="15.75" customHeight="1">
      <c r="A288" s="32"/>
      <c r="B288" s="200" t="s">
        <v>252</v>
      </c>
      <c r="C288" s="51">
        <v>3</v>
      </c>
      <c r="D288" s="201" t="s">
        <v>382</v>
      </c>
      <c r="E288" s="32"/>
      <c r="F288" s="264"/>
      <c r="G288" s="265"/>
      <c r="H288" s="265"/>
      <c r="I288" s="266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</row>
    <row r="289" ht="15.75" customHeight="1">
      <c r="A289" s="32"/>
      <c r="B289" s="200" t="s">
        <v>253</v>
      </c>
      <c r="C289" s="51">
        <v>4</v>
      </c>
      <c r="D289" s="201" t="s">
        <v>383</v>
      </c>
      <c r="E289" s="32"/>
      <c r="F289" s="267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</row>
    <row r="290" ht="15.75" customHeight="1">
      <c r="A290" s="32"/>
      <c r="B290" s="200" t="s">
        <v>255</v>
      </c>
      <c r="C290" s="51">
        <v>3</v>
      </c>
      <c r="D290" s="201" t="s">
        <v>384</v>
      </c>
      <c r="E290" s="32"/>
      <c r="F290" s="264"/>
      <c r="G290" s="265"/>
      <c r="H290" s="265"/>
      <c r="I290" s="266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</row>
    <row r="291" ht="15.75" customHeight="1">
      <c r="A291" s="32"/>
      <c r="B291" s="200" t="s">
        <v>256</v>
      </c>
      <c r="C291" s="51">
        <v>4</v>
      </c>
      <c r="D291" s="201" t="s">
        <v>385</v>
      </c>
      <c r="E291" s="32"/>
      <c r="F291" s="264"/>
      <c r="G291" s="265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</row>
    <row r="292" ht="15.75" customHeight="1">
      <c r="A292" s="32"/>
      <c r="B292" s="200" t="s">
        <v>258</v>
      </c>
      <c r="C292" s="51">
        <v>4</v>
      </c>
      <c r="D292" s="201" t="s">
        <v>386</v>
      </c>
      <c r="E292" s="32"/>
      <c r="F292" s="264"/>
      <c r="G292" s="265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</row>
    <row r="293" ht="15.75" customHeight="1">
      <c r="A293" s="32"/>
      <c r="B293" s="200" t="s">
        <v>260</v>
      </c>
      <c r="C293" s="231">
        <v>3</v>
      </c>
      <c r="D293" s="201" t="s">
        <v>387</v>
      </c>
      <c r="E293" s="32"/>
      <c r="F293" s="264"/>
      <c r="G293" s="265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</row>
    <row r="294" ht="15.75" customHeight="1">
      <c r="A294" s="32"/>
      <c r="B294" s="200" t="s">
        <v>262</v>
      </c>
      <c r="C294" s="51">
        <v>4</v>
      </c>
      <c r="D294" s="201" t="s">
        <v>251</v>
      </c>
      <c r="E294" s="32"/>
      <c r="F294" s="264"/>
      <c r="G294" s="265"/>
      <c r="H294" s="265"/>
      <c r="I294" s="266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</row>
    <row r="295" ht="15.75" customHeight="1">
      <c r="A295" s="32"/>
      <c r="B295" s="200" t="s">
        <v>264</v>
      </c>
      <c r="C295" s="51">
        <v>4</v>
      </c>
      <c r="D295" s="201" t="s">
        <v>388</v>
      </c>
      <c r="E295" s="32"/>
      <c r="F295" s="269"/>
      <c r="G295" s="269"/>
      <c r="H295" s="269"/>
      <c r="I295" s="270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</row>
    <row r="296" ht="15.75" customHeight="1">
      <c r="A296" s="32"/>
      <c r="B296" s="200" t="s">
        <v>266</v>
      </c>
      <c r="C296" s="51">
        <v>4</v>
      </c>
      <c r="D296" s="201" t="s">
        <v>293</v>
      </c>
      <c r="E296" s="32"/>
      <c r="F296" s="264"/>
      <c r="G296" s="265"/>
      <c r="H296" s="265"/>
      <c r="I296" s="266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</row>
    <row r="297" ht="15.75" customHeight="1">
      <c r="A297" s="59"/>
      <c r="B297" s="203" t="s">
        <v>268</v>
      </c>
      <c r="C297" s="282">
        <f t="shared" si="0"/>
        <v>3.7</v>
      </c>
      <c r="D297" s="201"/>
      <c r="E297" s="32"/>
      <c r="F297" s="264"/>
      <c r="G297" s="265"/>
      <c r="H297" s="265"/>
      <c r="I297" s="266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</row>
    <row r="298" ht="15.75" customHeight="1">
      <c r="A298" s="32"/>
      <c r="B298" s="205"/>
      <c r="C298" s="206"/>
      <c r="D298" s="207"/>
      <c r="E298" s="32"/>
      <c r="F298" s="264"/>
      <c r="G298" s="265"/>
      <c r="H298" s="265"/>
      <c r="I298" s="266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</row>
    <row r="299" ht="15.75" customHeight="1">
      <c r="A299" s="32"/>
      <c r="B299" s="32"/>
      <c r="C299" s="41"/>
      <c r="D299" s="32"/>
      <c r="E299" s="32"/>
      <c r="F299" s="264"/>
      <c r="G299" s="265"/>
      <c r="H299" s="265"/>
      <c r="I299" s="266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</row>
    <row r="300" ht="15.75" customHeight="1">
      <c r="A300" s="32"/>
      <c r="B300" s="32"/>
      <c r="C300" s="41"/>
      <c r="D300" s="32"/>
      <c r="E300" s="32"/>
      <c r="F300" s="264"/>
      <c r="G300" s="265"/>
      <c r="H300" s="265"/>
      <c r="I300" s="266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</row>
    <row r="301" ht="15.75" customHeight="1">
      <c r="A301" s="32"/>
      <c r="B301" s="208"/>
      <c r="C301" s="209"/>
      <c r="D301" s="210"/>
      <c r="E301" s="32"/>
      <c r="F301" s="264"/>
      <c r="G301" s="265"/>
      <c r="H301" s="265"/>
      <c r="I301" s="266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</row>
    <row r="302" ht="15.75" customHeight="1">
      <c r="A302" s="39"/>
      <c r="B302" s="283" t="s">
        <v>389</v>
      </c>
      <c r="C302" s="37"/>
      <c r="D302" s="194"/>
      <c r="E302" s="32"/>
      <c r="F302" s="264"/>
      <c r="G302" s="265"/>
      <c r="H302" s="265"/>
      <c r="I302" s="266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</row>
    <row r="303" ht="15.75" customHeight="1">
      <c r="A303" s="32"/>
      <c r="B303" s="195"/>
      <c r="C303" s="41"/>
      <c r="D303" s="196"/>
      <c r="E303" s="32"/>
      <c r="F303" s="264"/>
      <c r="G303" s="265"/>
      <c r="H303" s="265"/>
      <c r="I303" s="266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</row>
    <row r="304" ht="15.75" customHeight="1">
      <c r="A304" s="32"/>
      <c r="B304" s="195" t="s">
        <v>282</v>
      </c>
      <c r="C304" s="41"/>
      <c r="D304" s="20"/>
      <c r="E304" s="32"/>
      <c r="F304" s="264"/>
      <c r="G304" s="265"/>
      <c r="H304" s="265"/>
      <c r="I304" s="266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</row>
    <row r="305" ht="15.75" customHeight="1">
      <c r="A305" s="32"/>
      <c r="B305" s="195" t="s">
        <v>390</v>
      </c>
      <c r="C305" s="41"/>
      <c r="D305" s="20"/>
      <c r="E305" s="32"/>
      <c r="F305" s="264"/>
      <c r="G305" s="272"/>
      <c r="H305" s="265"/>
      <c r="I305" s="266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</row>
    <row r="306" ht="15.75" customHeight="1">
      <c r="A306" s="32"/>
      <c r="B306" s="195" t="s">
        <v>105</v>
      </c>
      <c r="C306" s="41"/>
      <c r="D306" s="20"/>
      <c r="E306" s="32"/>
      <c r="F306" s="264"/>
      <c r="G306" s="273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</row>
    <row r="307" ht="15.75" customHeight="1">
      <c r="A307" s="32"/>
      <c r="B307" s="195" t="s">
        <v>391</v>
      </c>
      <c r="C307" s="41"/>
      <c r="D307" s="196"/>
      <c r="E307" s="32"/>
      <c r="F307" s="264"/>
      <c r="G307" s="265"/>
      <c r="H307" s="265"/>
      <c r="I307" s="266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</row>
    <row r="308" ht="15.75" customHeight="1">
      <c r="A308" s="32"/>
      <c r="B308" s="195"/>
      <c r="C308" s="41"/>
      <c r="D308" s="196"/>
      <c r="E308" s="32"/>
      <c r="F308" s="32"/>
      <c r="G308" s="41"/>
      <c r="H308" s="41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</row>
    <row r="309" ht="15.75" customHeight="1">
      <c r="A309" s="49"/>
      <c r="B309" s="284" t="s">
        <v>78</v>
      </c>
      <c r="C309" s="285" t="s">
        <v>249</v>
      </c>
      <c r="D309" s="286" t="s">
        <v>81</v>
      </c>
      <c r="E309" s="41"/>
      <c r="F309" s="32"/>
      <c r="G309" s="41"/>
      <c r="H309" s="41"/>
      <c r="I309" s="32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</row>
    <row r="310" ht="15.75" customHeight="1">
      <c r="A310" s="32"/>
      <c r="B310" s="200" t="s">
        <v>250</v>
      </c>
      <c r="C310" s="51">
        <v>5</v>
      </c>
      <c r="D310" s="201" t="s">
        <v>251</v>
      </c>
      <c r="E310" s="32"/>
      <c r="F310" s="264"/>
      <c r="G310" s="265"/>
      <c r="H310" s="265"/>
      <c r="I310" s="266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</row>
    <row r="311" ht="15.75" customHeight="1">
      <c r="A311" s="32"/>
      <c r="B311" s="200" t="s">
        <v>252</v>
      </c>
      <c r="C311" s="51">
        <v>3</v>
      </c>
      <c r="D311" s="201" t="s">
        <v>392</v>
      </c>
      <c r="E311" s="32"/>
      <c r="F311" s="267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</row>
    <row r="312" ht="15.75" customHeight="1">
      <c r="A312" s="32"/>
      <c r="B312" s="200" t="s">
        <v>253</v>
      </c>
      <c r="C312" s="51">
        <v>5</v>
      </c>
      <c r="D312" s="201" t="s">
        <v>251</v>
      </c>
      <c r="E312" s="32"/>
      <c r="F312" s="264"/>
      <c r="G312" s="265"/>
      <c r="H312" s="265"/>
      <c r="I312" s="266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</row>
    <row r="313" ht="15.75" customHeight="1">
      <c r="A313" s="32"/>
      <c r="B313" s="200" t="s">
        <v>255</v>
      </c>
      <c r="C313" s="51">
        <v>5</v>
      </c>
      <c r="D313" s="201" t="s">
        <v>251</v>
      </c>
      <c r="E313" s="32"/>
      <c r="F313" s="264"/>
      <c r="G313" s="265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</row>
    <row r="314" ht="15.75" customHeight="1">
      <c r="A314" s="32"/>
      <c r="B314" s="200" t="s">
        <v>256</v>
      </c>
      <c r="C314" s="51">
        <v>5</v>
      </c>
      <c r="D314" s="201" t="s">
        <v>251</v>
      </c>
      <c r="E314" s="32"/>
      <c r="F314" s="264"/>
      <c r="G314" s="265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</row>
    <row r="315" ht="15.75" customHeight="1">
      <c r="A315" s="32"/>
      <c r="B315" s="200" t="s">
        <v>258</v>
      </c>
      <c r="C315" s="51">
        <v>4</v>
      </c>
      <c r="D315" s="201" t="s">
        <v>393</v>
      </c>
      <c r="E315" s="32"/>
      <c r="F315" s="264"/>
      <c r="G315" s="265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</row>
    <row r="316" ht="15.75" customHeight="1">
      <c r="A316" s="32"/>
      <c r="B316" s="200" t="s">
        <v>260</v>
      </c>
      <c r="C316" s="231">
        <v>4</v>
      </c>
      <c r="D316" s="201" t="s">
        <v>394</v>
      </c>
      <c r="E316" s="32"/>
      <c r="F316" s="264"/>
      <c r="G316" s="265"/>
      <c r="H316" s="265"/>
      <c r="I316" s="266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</row>
    <row r="317" ht="15.75" customHeight="1">
      <c r="A317" s="32"/>
      <c r="B317" s="200" t="s">
        <v>262</v>
      </c>
      <c r="C317" s="51">
        <v>4</v>
      </c>
      <c r="D317" s="201" t="s">
        <v>395</v>
      </c>
      <c r="E317" s="32"/>
      <c r="F317" s="269"/>
      <c r="G317" s="269"/>
      <c r="H317" s="269"/>
      <c r="I317" s="270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</row>
    <row r="318" ht="15.75" customHeight="1">
      <c r="A318" s="32"/>
      <c r="B318" s="200" t="s">
        <v>264</v>
      </c>
      <c r="C318" s="51">
        <v>5</v>
      </c>
      <c r="D318" s="201" t="s">
        <v>293</v>
      </c>
      <c r="E318" s="32"/>
      <c r="F318" s="264"/>
      <c r="G318" s="265"/>
      <c r="H318" s="265"/>
      <c r="I318" s="266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</row>
    <row r="319" ht="15.75" customHeight="1">
      <c r="A319" s="32"/>
      <c r="B319" s="200" t="s">
        <v>266</v>
      </c>
      <c r="C319" s="51">
        <v>5</v>
      </c>
      <c r="D319" s="201" t="s">
        <v>251</v>
      </c>
      <c r="E319" s="32"/>
      <c r="F319" s="264"/>
      <c r="G319" s="265"/>
      <c r="H319" s="265"/>
      <c r="I319" s="266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</row>
    <row r="320" ht="15.75" customHeight="1">
      <c r="A320" s="59"/>
      <c r="B320" s="203" t="s">
        <v>268</v>
      </c>
      <c r="C320" s="287">
        <f t="shared" si="0"/>
        <v>4.5</v>
      </c>
      <c r="D320" s="201"/>
      <c r="E320" s="32"/>
      <c r="F320" s="264"/>
      <c r="G320" s="265"/>
      <c r="H320" s="265"/>
      <c r="I320" s="266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</row>
    <row r="321" ht="15.75" customHeight="1">
      <c r="A321" s="32"/>
      <c r="B321" s="205"/>
      <c r="C321" s="206"/>
      <c r="D321" s="207"/>
      <c r="E321" s="32"/>
      <c r="F321" s="264"/>
      <c r="G321" s="265"/>
      <c r="H321" s="265"/>
      <c r="I321" s="266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</row>
    <row r="322" ht="15.75" customHeight="1">
      <c r="A322" s="32"/>
      <c r="B322" s="32"/>
      <c r="C322" s="41"/>
      <c r="D322" s="32"/>
      <c r="E322" s="32"/>
      <c r="F322" s="264"/>
      <c r="G322" s="265"/>
      <c r="H322" s="265"/>
      <c r="I322" s="266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</row>
    <row r="323" ht="15.75" customHeight="1">
      <c r="A323" s="32"/>
      <c r="B323" s="32"/>
      <c r="C323" s="41"/>
      <c r="D323" s="32"/>
      <c r="E323" s="32"/>
      <c r="F323" s="264"/>
      <c r="G323" s="265"/>
      <c r="H323" s="265"/>
      <c r="I323" s="266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</row>
    <row r="324" ht="15.75" customHeight="1">
      <c r="A324" s="32"/>
      <c r="B324" s="208"/>
      <c r="C324" s="209"/>
      <c r="D324" s="210"/>
      <c r="E324" s="32"/>
      <c r="F324" s="264"/>
      <c r="G324" s="265"/>
      <c r="H324" s="265"/>
      <c r="I324" s="266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</row>
    <row r="325" ht="15.75" customHeight="1">
      <c r="A325" s="39"/>
      <c r="B325" s="288" t="s">
        <v>396</v>
      </c>
      <c r="C325" s="37"/>
      <c r="D325" s="194"/>
      <c r="E325" s="32"/>
      <c r="F325" s="264"/>
      <c r="G325" s="265"/>
      <c r="H325" s="265"/>
      <c r="I325" s="266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</row>
    <row r="326" ht="15.75" customHeight="1">
      <c r="A326" s="32"/>
      <c r="B326" s="195"/>
      <c r="C326" s="41"/>
      <c r="D326" s="196"/>
      <c r="E326" s="32"/>
      <c r="F326" s="264"/>
      <c r="G326" s="265"/>
      <c r="H326" s="265"/>
      <c r="I326" s="266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</row>
    <row r="327" ht="15.75" customHeight="1">
      <c r="A327" s="32"/>
      <c r="B327" s="195" t="s">
        <v>282</v>
      </c>
      <c r="C327" s="41"/>
      <c r="D327" s="20"/>
      <c r="E327" s="32"/>
      <c r="F327" s="264"/>
      <c r="G327" s="272"/>
      <c r="H327" s="265"/>
      <c r="I327" s="266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</row>
    <row r="328" ht="15.75" customHeight="1">
      <c r="A328" s="32"/>
      <c r="B328" s="195" t="s">
        <v>390</v>
      </c>
      <c r="C328" s="41"/>
      <c r="D328" s="20"/>
      <c r="E328" s="32"/>
      <c r="F328" s="264"/>
      <c r="G328" s="273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</row>
    <row r="329" ht="15.75" customHeight="1">
      <c r="A329" s="32"/>
      <c r="B329" s="195" t="s">
        <v>105</v>
      </c>
      <c r="C329" s="41"/>
      <c r="D329" s="20"/>
      <c r="E329" s="32"/>
      <c r="F329" s="264"/>
      <c r="G329" s="265"/>
      <c r="H329" s="265"/>
      <c r="I329" s="266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</row>
    <row r="330" ht="15.75" customHeight="1">
      <c r="A330" s="32"/>
      <c r="B330" s="195" t="s">
        <v>397</v>
      </c>
      <c r="C330" s="41"/>
      <c r="D330" s="196"/>
      <c r="E330" s="32"/>
      <c r="F330" s="32"/>
      <c r="G330" s="41"/>
      <c r="H330" s="41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</row>
    <row r="331" ht="15.75" customHeight="1">
      <c r="A331" s="32"/>
      <c r="B331" s="195"/>
      <c r="C331" s="41"/>
      <c r="D331" s="196"/>
      <c r="E331" s="32"/>
      <c r="F331" s="32"/>
      <c r="G331" s="41"/>
      <c r="H331" s="41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</row>
    <row r="332" ht="15.75" customHeight="1">
      <c r="A332" s="49"/>
      <c r="B332" s="289" t="s">
        <v>78</v>
      </c>
      <c r="C332" s="290" t="s">
        <v>249</v>
      </c>
      <c r="D332" s="291" t="s">
        <v>81</v>
      </c>
      <c r="E332" s="41"/>
      <c r="F332" s="264"/>
      <c r="G332" s="265"/>
      <c r="H332" s="265"/>
      <c r="I332" s="266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</row>
    <row r="333" ht="15.75" customHeight="1">
      <c r="A333" s="32"/>
      <c r="B333" s="200" t="s">
        <v>250</v>
      </c>
      <c r="C333" s="51">
        <v>5</v>
      </c>
      <c r="D333" s="201" t="s">
        <v>251</v>
      </c>
      <c r="E333" s="32"/>
      <c r="F333" s="267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</row>
    <row r="334" ht="15.75" customHeight="1">
      <c r="A334" s="32"/>
      <c r="B334" s="200" t="s">
        <v>252</v>
      </c>
      <c r="C334" s="51">
        <v>5</v>
      </c>
      <c r="D334" s="201" t="s">
        <v>251</v>
      </c>
      <c r="E334" s="32"/>
      <c r="F334" s="264"/>
      <c r="G334" s="265"/>
      <c r="H334" s="265"/>
      <c r="I334" s="266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</row>
    <row r="335" ht="15.75" customHeight="1">
      <c r="A335" s="32"/>
      <c r="B335" s="200" t="s">
        <v>253</v>
      </c>
      <c r="C335" s="51">
        <v>5</v>
      </c>
      <c r="D335" s="201" t="s">
        <v>251</v>
      </c>
      <c r="E335" s="32"/>
      <c r="F335" s="264"/>
      <c r="G335" s="265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</row>
    <row r="336" ht="15.75" customHeight="1">
      <c r="A336" s="32"/>
      <c r="B336" s="200" t="s">
        <v>255</v>
      </c>
      <c r="C336" s="51">
        <v>5</v>
      </c>
      <c r="D336" s="201" t="s">
        <v>251</v>
      </c>
      <c r="E336" s="32"/>
      <c r="F336" s="264"/>
      <c r="G336" s="265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</row>
    <row r="337" ht="15.75" customHeight="1">
      <c r="A337" s="32"/>
      <c r="B337" s="200" t="s">
        <v>256</v>
      </c>
      <c r="C337" s="51">
        <v>5</v>
      </c>
      <c r="D337" s="201" t="s">
        <v>251</v>
      </c>
      <c r="E337" s="32"/>
      <c r="F337" s="264"/>
      <c r="G337" s="265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</row>
    <row r="338" ht="15.75" customHeight="1">
      <c r="A338" s="32"/>
      <c r="B338" s="200" t="s">
        <v>258</v>
      </c>
      <c r="C338" s="51">
        <v>5</v>
      </c>
      <c r="D338" s="201" t="s">
        <v>251</v>
      </c>
      <c r="E338" s="32"/>
      <c r="F338" s="264"/>
      <c r="G338" s="265"/>
      <c r="H338" s="265"/>
      <c r="I338" s="266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</row>
    <row r="339" ht="15.75" customHeight="1">
      <c r="A339" s="32"/>
      <c r="B339" s="200" t="s">
        <v>260</v>
      </c>
      <c r="C339" s="231">
        <v>5</v>
      </c>
      <c r="D339" s="201" t="s">
        <v>398</v>
      </c>
      <c r="E339" s="32"/>
      <c r="F339" s="269"/>
      <c r="G339" s="269"/>
      <c r="H339" s="269"/>
      <c r="I339" s="270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</row>
    <row r="340" ht="15.75" customHeight="1">
      <c r="A340" s="32"/>
      <c r="B340" s="200" t="s">
        <v>262</v>
      </c>
      <c r="C340" s="51">
        <v>5</v>
      </c>
      <c r="D340" s="201" t="s">
        <v>251</v>
      </c>
      <c r="E340" s="32"/>
      <c r="F340" s="264"/>
      <c r="G340" s="265"/>
      <c r="H340" s="265"/>
      <c r="I340" s="266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</row>
    <row r="341" ht="15.75" customHeight="1">
      <c r="A341" s="32"/>
      <c r="B341" s="200" t="s">
        <v>264</v>
      </c>
      <c r="C341" s="51">
        <v>5</v>
      </c>
      <c r="D341" s="201" t="s">
        <v>251</v>
      </c>
      <c r="E341" s="32"/>
      <c r="F341" s="264"/>
      <c r="G341" s="265"/>
      <c r="H341" s="265"/>
      <c r="I341" s="266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</row>
    <row r="342" ht="15.75" customHeight="1">
      <c r="A342" s="32"/>
      <c r="B342" s="200" t="s">
        <v>266</v>
      </c>
      <c r="C342" s="51">
        <v>5</v>
      </c>
      <c r="D342" s="201" t="s">
        <v>251</v>
      </c>
      <c r="E342" s="32"/>
      <c r="F342" s="264"/>
      <c r="G342" s="265"/>
      <c r="H342" s="265"/>
      <c r="I342" s="266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</row>
    <row r="343" ht="15.75" customHeight="1">
      <c r="A343" s="59"/>
      <c r="B343" s="203" t="s">
        <v>268</v>
      </c>
      <c r="C343" s="292">
        <f t="shared" si="0"/>
        <v>5</v>
      </c>
      <c r="D343" s="201"/>
      <c r="E343" s="32"/>
      <c r="F343" s="264"/>
      <c r="G343" s="265"/>
      <c r="H343" s="265"/>
      <c r="I343" s="266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</row>
    <row r="344" ht="15.75" customHeight="1">
      <c r="A344" s="32"/>
      <c r="B344" s="205"/>
      <c r="C344" s="206"/>
      <c r="D344" s="207"/>
      <c r="E344" s="32"/>
      <c r="F344" s="264"/>
      <c r="G344" s="265"/>
      <c r="H344" s="265"/>
      <c r="I344" s="266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</row>
    <row r="345" ht="15.75" customHeight="1">
      <c r="A345" s="32"/>
      <c r="B345" s="32"/>
      <c r="C345" s="41"/>
      <c r="D345" s="32"/>
      <c r="E345" s="32"/>
      <c r="F345" s="264"/>
      <c r="G345" s="265"/>
      <c r="H345" s="265"/>
      <c r="I345" s="266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</row>
    <row r="346" ht="15.75" customHeight="1">
      <c r="A346" s="32"/>
      <c r="B346" s="32"/>
      <c r="C346" s="41"/>
      <c r="D346" s="32"/>
      <c r="E346" s="32"/>
      <c r="F346" s="264"/>
      <c r="G346" s="265"/>
      <c r="H346" s="265"/>
      <c r="I346" s="266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</row>
    <row r="347" ht="15.75" customHeight="1">
      <c r="A347" s="32"/>
      <c r="B347" s="208"/>
      <c r="C347" s="209"/>
      <c r="D347" s="210"/>
      <c r="E347" s="32"/>
      <c r="F347" s="264"/>
      <c r="G347" s="265"/>
      <c r="H347" s="265"/>
      <c r="I347" s="266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</row>
    <row r="348" ht="15.75" customHeight="1">
      <c r="A348" s="39"/>
      <c r="B348" s="293" t="s">
        <v>399</v>
      </c>
      <c r="C348" s="37"/>
      <c r="D348" s="194"/>
      <c r="E348" s="32"/>
      <c r="F348" s="264"/>
      <c r="G348" s="265"/>
      <c r="H348" s="265"/>
      <c r="I348" s="266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</row>
    <row r="349" ht="15.75" customHeight="1">
      <c r="A349" s="32"/>
      <c r="B349" s="195"/>
      <c r="C349" s="41"/>
      <c r="D349" s="196"/>
      <c r="E349" s="32"/>
      <c r="F349" s="264"/>
      <c r="G349" s="272"/>
      <c r="H349" s="265"/>
      <c r="I349" s="266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</row>
    <row r="350" ht="15.75" customHeight="1">
      <c r="A350" s="32"/>
      <c r="B350" s="195" t="s">
        <v>282</v>
      </c>
      <c r="C350" s="41"/>
      <c r="D350" s="20"/>
      <c r="E350" s="32"/>
      <c r="F350" s="264"/>
      <c r="G350" s="294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</row>
    <row r="351" ht="15.75" customHeight="1">
      <c r="A351" s="32"/>
      <c r="B351" s="195" t="s">
        <v>400</v>
      </c>
      <c r="C351" s="41"/>
      <c r="D351" s="20"/>
      <c r="E351" s="32"/>
      <c r="F351" s="264"/>
      <c r="G351" s="265"/>
      <c r="H351" s="265"/>
      <c r="I351" s="266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</row>
    <row r="352" ht="15.75" customHeight="1">
      <c r="A352" s="32"/>
      <c r="B352" s="195" t="s">
        <v>105</v>
      </c>
      <c r="C352" s="41"/>
      <c r="D352" s="20"/>
      <c r="E352" s="32"/>
      <c r="F352" s="32"/>
      <c r="G352" s="41"/>
      <c r="H352" s="41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</row>
    <row r="353" ht="15.75" customHeight="1">
      <c r="A353" s="32"/>
      <c r="B353" s="195" t="s">
        <v>401</v>
      </c>
      <c r="C353" s="41"/>
      <c r="D353" s="196"/>
      <c r="E353" s="32"/>
      <c r="F353" s="32"/>
      <c r="G353" s="41"/>
      <c r="H353" s="41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</row>
    <row r="354" ht="15.75" customHeight="1">
      <c r="A354" s="32"/>
      <c r="B354" s="195"/>
      <c r="C354" s="41"/>
      <c r="D354" s="196"/>
      <c r="E354" s="32"/>
      <c r="F354" s="264"/>
      <c r="G354" s="265"/>
      <c r="H354" s="265"/>
      <c r="I354" s="266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</row>
    <row r="355" ht="15.75" customHeight="1">
      <c r="A355" s="49"/>
      <c r="B355" s="295" t="s">
        <v>78</v>
      </c>
      <c r="C355" s="296" t="s">
        <v>249</v>
      </c>
      <c r="D355" s="297" t="s">
        <v>81</v>
      </c>
      <c r="E355" s="41"/>
      <c r="F355" s="267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</row>
    <row r="356" ht="15.75" customHeight="1">
      <c r="A356" s="32"/>
      <c r="B356" s="200" t="s">
        <v>250</v>
      </c>
      <c r="C356" s="51">
        <v>5</v>
      </c>
      <c r="D356" s="201" t="s">
        <v>402</v>
      </c>
      <c r="E356" s="32"/>
      <c r="F356" s="264"/>
      <c r="G356" s="265"/>
      <c r="H356" s="265"/>
      <c r="I356" s="266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</row>
    <row r="357" ht="15.75" customHeight="1">
      <c r="A357" s="32"/>
      <c r="B357" s="200" t="s">
        <v>252</v>
      </c>
      <c r="C357" s="51">
        <v>5</v>
      </c>
      <c r="D357" s="201" t="s">
        <v>402</v>
      </c>
      <c r="E357" s="32"/>
      <c r="F357" s="264"/>
      <c r="G357" s="265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</row>
    <row r="358" ht="15.75" customHeight="1">
      <c r="A358" s="32"/>
      <c r="B358" s="200" t="s">
        <v>253</v>
      </c>
      <c r="C358" s="51">
        <v>3</v>
      </c>
      <c r="D358" s="201" t="s">
        <v>403</v>
      </c>
      <c r="E358" s="32"/>
      <c r="F358" s="264"/>
      <c r="G358" s="265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</row>
    <row r="359" ht="15.75" customHeight="1">
      <c r="A359" s="32"/>
      <c r="B359" s="200" t="s">
        <v>255</v>
      </c>
      <c r="C359" s="51">
        <v>3</v>
      </c>
      <c r="D359" s="201" t="s">
        <v>404</v>
      </c>
      <c r="E359" s="32"/>
      <c r="F359" s="264"/>
      <c r="G359" s="265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</row>
    <row r="360" ht="15.75" customHeight="1">
      <c r="A360" s="32"/>
      <c r="B360" s="200" t="s">
        <v>256</v>
      </c>
      <c r="C360" s="51">
        <v>5</v>
      </c>
      <c r="D360" s="201" t="s">
        <v>402</v>
      </c>
      <c r="E360" s="32"/>
      <c r="F360" s="264"/>
      <c r="G360" s="265"/>
      <c r="H360" s="265"/>
      <c r="I360" s="266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</row>
    <row r="361" ht="15.75" customHeight="1">
      <c r="A361" s="32"/>
      <c r="B361" s="200" t="s">
        <v>258</v>
      </c>
      <c r="C361" s="51">
        <v>5</v>
      </c>
      <c r="D361" s="201" t="s">
        <v>402</v>
      </c>
      <c r="E361" s="32"/>
      <c r="F361" s="269"/>
      <c r="G361" s="269"/>
      <c r="H361" s="269"/>
      <c r="I361" s="270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</row>
    <row r="362" ht="15.75" customHeight="1">
      <c r="A362" s="32"/>
      <c r="B362" s="200" t="s">
        <v>260</v>
      </c>
      <c r="C362" s="231">
        <v>3</v>
      </c>
      <c r="D362" s="201" t="s">
        <v>405</v>
      </c>
      <c r="E362" s="32"/>
      <c r="F362" s="264"/>
      <c r="G362" s="265"/>
      <c r="H362" s="265"/>
      <c r="I362" s="266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</row>
    <row r="363" ht="15.75" customHeight="1">
      <c r="A363" s="32"/>
      <c r="B363" s="200" t="s">
        <v>262</v>
      </c>
      <c r="C363" s="51">
        <v>4</v>
      </c>
      <c r="D363" s="201" t="s">
        <v>406</v>
      </c>
      <c r="E363" s="32"/>
      <c r="F363" s="264"/>
      <c r="G363" s="265"/>
      <c r="H363" s="265"/>
      <c r="I363" s="266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</row>
    <row r="364" ht="15.75" customHeight="1">
      <c r="A364" s="32"/>
      <c r="B364" s="200" t="s">
        <v>264</v>
      </c>
      <c r="C364" s="51">
        <v>5</v>
      </c>
      <c r="D364" s="201" t="s">
        <v>402</v>
      </c>
      <c r="E364" s="32"/>
      <c r="F364" s="264"/>
      <c r="G364" s="265"/>
      <c r="H364" s="265"/>
      <c r="I364" s="266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</row>
    <row r="365" ht="15.75" customHeight="1">
      <c r="A365" s="32"/>
      <c r="B365" s="200" t="s">
        <v>266</v>
      </c>
      <c r="C365" s="51">
        <v>5</v>
      </c>
      <c r="D365" s="201" t="s">
        <v>402</v>
      </c>
      <c r="E365" s="32"/>
      <c r="F365" s="264"/>
      <c r="G365" s="265"/>
      <c r="H365" s="265"/>
      <c r="I365" s="266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</row>
    <row r="366" ht="15.75" customHeight="1">
      <c r="A366" s="59"/>
      <c r="B366" s="203" t="s">
        <v>268</v>
      </c>
      <c r="C366" s="298">
        <f t="shared" si="0"/>
        <v>4.3</v>
      </c>
      <c r="D366" s="201"/>
      <c r="E366" s="32"/>
      <c r="F366" s="264"/>
      <c r="G366" s="265"/>
      <c r="H366" s="265"/>
      <c r="I366" s="266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</row>
    <row r="367" ht="15.75" customHeight="1">
      <c r="A367" s="32"/>
      <c r="B367" s="205"/>
      <c r="C367" s="206"/>
      <c r="D367" s="207"/>
      <c r="E367" s="32"/>
      <c r="F367" s="264"/>
      <c r="G367" s="265"/>
      <c r="H367" s="265"/>
      <c r="I367" s="266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</row>
    <row r="368" ht="15.75" customHeight="1">
      <c r="A368" s="32"/>
      <c r="B368" s="32"/>
      <c r="C368" s="41"/>
      <c r="D368" s="32"/>
      <c r="E368" s="32"/>
      <c r="F368" s="264"/>
      <c r="G368" s="265"/>
      <c r="H368" s="265"/>
      <c r="I368" s="266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</row>
    <row r="369" ht="15.75" customHeight="1">
      <c r="A369" s="32"/>
      <c r="B369" s="32"/>
      <c r="C369" s="41"/>
      <c r="D369" s="32"/>
      <c r="E369" s="32"/>
      <c r="F369" s="264"/>
      <c r="G369" s="265"/>
      <c r="H369" s="265"/>
      <c r="I369" s="266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</row>
    <row r="370" ht="15.75" customHeight="1">
      <c r="A370" s="32"/>
      <c r="B370" s="208"/>
      <c r="C370" s="209"/>
      <c r="D370" s="210"/>
      <c r="E370" s="32"/>
      <c r="F370" s="264"/>
      <c r="G370" s="265"/>
      <c r="H370" s="265"/>
      <c r="I370" s="266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</row>
    <row r="371" ht="15.75" customHeight="1">
      <c r="A371" s="39"/>
      <c r="B371" s="299" t="s">
        <v>407</v>
      </c>
      <c r="C371" s="37"/>
      <c r="D371" s="194"/>
      <c r="E371" s="32"/>
      <c r="F371" s="264"/>
      <c r="G371" s="272"/>
      <c r="H371" s="265"/>
      <c r="I371" s="266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</row>
    <row r="372" ht="15.75" customHeight="1">
      <c r="A372" s="32"/>
      <c r="B372" s="195"/>
      <c r="C372" s="41"/>
      <c r="D372" s="196"/>
      <c r="E372" s="32"/>
      <c r="F372" s="264"/>
      <c r="G372" s="273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</row>
    <row r="373" ht="15.75" customHeight="1">
      <c r="A373" s="32"/>
      <c r="B373" s="195" t="s">
        <v>282</v>
      </c>
      <c r="C373" s="41"/>
      <c r="D373" s="20"/>
      <c r="E373" s="32"/>
      <c r="F373" s="264"/>
      <c r="G373" s="265"/>
      <c r="H373" s="265"/>
      <c r="I373" s="266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</row>
    <row r="374" ht="15.75" customHeight="1">
      <c r="A374" s="32"/>
      <c r="B374" s="195" t="s">
        <v>400</v>
      </c>
      <c r="C374" s="41"/>
      <c r="D374" s="20"/>
      <c r="E374" s="32"/>
      <c r="F374" s="32"/>
      <c r="G374" s="41"/>
      <c r="H374" s="41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</row>
    <row r="375" ht="15.75" customHeight="1">
      <c r="A375" s="32"/>
      <c r="B375" s="195" t="s">
        <v>105</v>
      </c>
      <c r="C375" s="41"/>
      <c r="D375" s="20"/>
      <c r="E375" s="32"/>
      <c r="F375" s="32"/>
      <c r="G375" s="41"/>
      <c r="H375" s="41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</row>
    <row r="376" ht="15.75" customHeight="1">
      <c r="A376" s="32"/>
      <c r="B376" s="195" t="s">
        <v>408</v>
      </c>
      <c r="C376" s="41"/>
      <c r="D376" s="196"/>
      <c r="E376" s="32"/>
      <c r="F376" s="264"/>
      <c r="G376" s="265"/>
      <c r="H376" s="265"/>
      <c r="I376" s="266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</row>
    <row r="377" ht="15.75" customHeight="1">
      <c r="A377" s="32"/>
      <c r="B377" s="195"/>
      <c r="C377" s="41"/>
      <c r="D377" s="196"/>
      <c r="E377" s="32"/>
      <c r="F377" s="267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</row>
    <row r="378" ht="15.75" customHeight="1">
      <c r="A378" s="49"/>
      <c r="B378" s="300" t="s">
        <v>78</v>
      </c>
      <c r="C378" s="301" t="s">
        <v>249</v>
      </c>
      <c r="D378" s="302" t="s">
        <v>81</v>
      </c>
      <c r="E378" s="41"/>
      <c r="F378" s="264"/>
      <c r="G378" s="265"/>
      <c r="H378" s="265"/>
      <c r="I378" s="266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</row>
    <row r="379" ht="15.75" customHeight="1">
      <c r="A379" s="32"/>
      <c r="B379" s="200" t="s">
        <v>250</v>
      </c>
      <c r="C379" s="51">
        <v>5</v>
      </c>
      <c r="D379" s="201" t="s">
        <v>251</v>
      </c>
      <c r="E379" s="32"/>
      <c r="F379" s="264"/>
      <c r="G379" s="265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</row>
    <row r="380" ht="15.75" customHeight="1">
      <c r="A380" s="32"/>
      <c r="B380" s="200" t="s">
        <v>252</v>
      </c>
      <c r="C380" s="51">
        <v>5</v>
      </c>
      <c r="D380" s="201" t="s">
        <v>251</v>
      </c>
      <c r="E380" s="32"/>
      <c r="F380" s="264"/>
      <c r="G380" s="265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</row>
    <row r="381" ht="15.75" customHeight="1">
      <c r="A381" s="32"/>
      <c r="B381" s="200" t="s">
        <v>253</v>
      </c>
      <c r="C381" s="51">
        <v>5</v>
      </c>
      <c r="D381" s="201" t="s">
        <v>251</v>
      </c>
      <c r="E381" s="32"/>
      <c r="F381" s="264"/>
      <c r="G381" s="265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</row>
    <row r="382" ht="15.75" customHeight="1">
      <c r="A382" s="32"/>
      <c r="B382" s="200" t="s">
        <v>255</v>
      </c>
      <c r="C382" s="51">
        <v>5</v>
      </c>
      <c r="D382" s="201" t="s">
        <v>251</v>
      </c>
      <c r="E382" s="32"/>
      <c r="F382" s="264"/>
      <c r="G382" s="265"/>
      <c r="H382" s="265"/>
      <c r="I382" s="266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</row>
    <row r="383" ht="15.75" customHeight="1">
      <c r="A383" s="32"/>
      <c r="B383" s="200" t="s">
        <v>256</v>
      </c>
      <c r="C383" s="51">
        <v>5</v>
      </c>
      <c r="D383" s="201" t="s">
        <v>251</v>
      </c>
      <c r="E383" s="32"/>
      <c r="F383" s="269"/>
      <c r="G383" s="269"/>
      <c r="H383" s="269"/>
      <c r="I383" s="270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</row>
    <row r="384" ht="15.75" customHeight="1">
      <c r="A384" s="32"/>
      <c r="B384" s="200" t="s">
        <v>258</v>
      </c>
      <c r="C384" s="51">
        <v>4</v>
      </c>
      <c r="D384" s="201" t="s">
        <v>409</v>
      </c>
      <c r="E384" s="32"/>
      <c r="F384" s="264"/>
      <c r="G384" s="265"/>
      <c r="H384" s="265"/>
      <c r="I384" s="266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</row>
    <row r="385" ht="15.75" customHeight="1">
      <c r="A385" s="32"/>
      <c r="B385" s="200" t="s">
        <v>260</v>
      </c>
      <c r="C385" s="231">
        <v>3</v>
      </c>
      <c r="D385" s="201" t="s">
        <v>410</v>
      </c>
      <c r="E385" s="32"/>
      <c r="F385" s="264"/>
      <c r="G385" s="265"/>
      <c r="H385" s="265"/>
      <c r="I385" s="266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</row>
    <row r="386" ht="15.75" customHeight="1">
      <c r="A386" s="32"/>
      <c r="B386" s="200" t="s">
        <v>262</v>
      </c>
      <c r="C386" s="51">
        <v>5</v>
      </c>
      <c r="D386" s="201" t="s">
        <v>251</v>
      </c>
      <c r="E386" s="32"/>
      <c r="F386" s="264"/>
      <c r="G386" s="265"/>
      <c r="H386" s="265"/>
      <c r="I386" s="266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</row>
    <row r="387" ht="15.75" customHeight="1">
      <c r="A387" s="32"/>
      <c r="B387" s="200" t="s">
        <v>264</v>
      </c>
      <c r="C387" s="51">
        <v>5</v>
      </c>
      <c r="D387" s="201" t="s">
        <v>251</v>
      </c>
      <c r="E387" s="32"/>
      <c r="F387" s="264"/>
      <c r="G387" s="265"/>
      <c r="H387" s="265"/>
      <c r="I387" s="266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</row>
    <row r="388" ht="15.75" customHeight="1">
      <c r="A388" s="32"/>
      <c r="B388" s="200" t="s">
        <v>266</v>
      </c>
      <c r="C388" s="51">
        <v>5</v>
      </c>
      <c r="D388" s="201" t="s">
        <v>251</v>
      </c>
      <c r="E388" s="32"/>
      <c r="F388" s="264"/>
      <c r="G388" s="265"/>
      <c r="H388" s="265"/>
      <c r="I388" s="266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</row>
    <row r="389" ht="15.75" customHeight="1">
      <c r="A389" s="59"/>
      <c r="B389" s="203" t="s">
        <v>268</v>
      </c>
      <c r="C389" s="303">
        <f t="shared" si="0"/>
        <v>4.7</v>
      </c>
      <c r="D389" s="201"/>
      <c r="E389" s="32"/>
      <c r="F389" s="264"/>
      <c r="G389" s="265"/>
      <c r="H389" s="265"/>
      <c r="I389" s="266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</row>
    <row r="390" ht="15.75" customHeight="1">
      <c r="A390" s="32"/>
      <c r="B390" s="205"/>
      <c r="C390" s="206"/>
      <c r="D390" s="207"/>
      <c r="E390" s="32"/>
      <c r="F390" s="264"/>
      <c r="G390" s="265"/>
      <c r="H390" s="265"/>
      <c r="I390" s="266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</row>
    <row r="391" ht="15.75" customHeight="1">
      <c r="A391" s="32"/>
      <c r="B391" s="32"/>
      <c r="C391" s="41"/>
      <c r="D391" s="32"/>
      <c r="E391" s="32"/>
      <c r="F391" s="264"/>
      <c r="G391" s="265"/>
      <c r="H391" s="265"/>
      <c r="I391" s="266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</row>
    <row r="392" ht="15.75" customHeight="1">
      <c r="A392" s="32"/>
      <c r="B392" s="32"/>
      <c r="C392" s="41"/>
      <c r="D392" s="32"/>
      <c r="E392" s="32"/>
      <c r="F392" s="264"/>
      <c r="G392" s="265"/>
      <c r="H392" s="265"/>
      <c r="I392" s="266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</row>
    <row r="393" ht="15.75" customHeight="1">
      <c r="A393" s="32"/>
      <c r="B393" s="208"/>
      <c r="C393" s="209"/>
      <c r="D393" s="210"/>
      <c r="E393" s="32"/>
      <c r="F393" s="264"/>
      <c r="G393" s="272"/>
      <c r="H393" s="265"/>
      <c r="I393" s="266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</row>
    <row r="394" ht="15.75" customHeight="1">
      <c r="A394" s="39"/>
      <c r="B394" s="304" t="s">
        <v>411</v>
      </c>
      <c r="C394" s="37"/>
      <c r="D394" s="194"/>
      <c r="E394" s="32"/>
      <c r="F394" s="264"/>
      <c r="G394" s="273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</row>
    <row r="395" ht="15.75" customHeight="1">
      <c r="A395" s="32"/>
      <c r="B395" s="195"/>
      <c r="C395" s="41"/>
      <c r="D395" s="196"/>
      <c r="E395" s="32"/>
      <c r="F395" s="264"/>
      <c r="G395" s="265"/>
      <c r="H395" s="265"/>
      <c r="I395" s="266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</row>
    <row r="396" ht="15.75" customHeight="1">
      <c r="A396" s="32"/>
      <c r="B396" s="195" t="s">
        <v>282</v>
      </c>
      <c r="C396" s="41"/>
      <c r="D396" s="20"/>
      <c r="E396" s="32"/>
      <c r="F396" s="32"/>
      <c r="G396" s="41"/>
      <c r="H396" s="41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</row>
    <row r="397" ht="15.75" customHeight="1">
      <c r="A397" s="32"/>
      <c r="B397" s="195" t="s">
        <v>412</v>
      </c>
      <c r="C397" s="41"/>
      <c r="D397" s="20"/>
      <c r="E397" s="32"/>
      <c r="F397" s="32"/>
      <c r="G397" s="41"/>
      <c r="H397" s="41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</row>
    <row r="398" ht="15.75" customHeight="1">
      <c r="A398" s="32"/>
      <c r="B398" s="195" t="s">
        <v>105</v>
      </c>
      <c r="C398" s="41"/>
      <c r="D398" s="20"/>
      <c r="E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</row>
    <row r="399" ht="15.75" customHeight="1">
      <c r="A399" s="32"/>
      <c r="B399" s="195" t="s">
        <v>413</v>
      </c>
      <c r="C399" s="41"/>
      <c r="D399" s="196"/>
      <c r="E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</row>
    <row r="400" ht="15.75" customHeight="1">
      <c r="A400" s="32"/>
      <c r="B400" s="195"/>
      <c r="C400" s="41"/>
      <c r="D400" s="196"/>
      <c r="E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</row>
    <row r="401" ht="15.75" customHeight="1">
      <c r="A401" s="49"/>
      <c r="B401" s="305" t="s">
        <v>78</v>
      </c>
      <c r="C401" s="306" t="s">
        <v>249</v>
      </c>
      <c r="D401" s="307" t="s">
        <v>81</v>
      </c>
      <c r="E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</row>
    <row r="402" ht="15.75" customHeight="1">
      <c r="A402" s="32"/>
      <c r="B402" s="200" t="s">
        <v>250</v>
      </c>
      <c r="C402" s="51">
        <v>5</v>
      </c>
      <c r="D402" s="201" t="s">
        <v>414</v>
      </c>
      <c r="E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</row>
    <row r="403" ht="15.75" customHeight="1">
      <c r="A403" s="32"/>
      <c r="B403" s="200" t="s">
        <v>252</v>
      </c>
      <c r="C403" s="51">
        <v>5</v>
      </c>
      <c r="D403" s="201" t="s">
        <v>414</v>
      </c>
      <c r="E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</row>
    <row r="404" ht="15.75" customHeight="1">
      <c r="A404" s="32"/>
      <c r="B404" s="200" t="s">
        <v>253</v>
      </c>
      <c r="C404" s="51">
        <v>5</v>
      </c>
      <c r="D404" s="201" t="s">
        <v>414</v>
      </c>
      <c r="E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</row>
    <row r="405" ht="15.75" customHeight="1">
      <c r="A405" s="32"/>
      <c r="B405" s="200" t="s">
        <v>255</v>
      </c>
      <c r="C405" s="51">
        <v>5</v>
      </c>
      <c r="D405" s="201" t="s">
        <v>414</v>
      </c>
      <c r="E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</row>
    <row r="406" ht="15.75" customHeight="1">
      <c r="A406" s="32"/>
      <c r="B406" s="200" t="s">
        <v>256</v>
      </c>
      <c r="C406" s="51">
        <v>5</v>
      </c>
      <c r="D406" s="201" t="s">
        <v>414</v>
      </c>
      <c r="E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</row>
    <row r="407" ht="15.75" customHeight="1">
      <c r="A407" s="32"/>
      <c r="B407" s="200" t="s">
        <v>258</v>
      </c>
      <c r="C407" s="51">
        <v>5</v>
      </c>
      <c r="D407" s="201" t="s">
        <v>414</v>
      </c>
      <c r="E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</row>
    <row r="408" ht="15.75" customHeight="1">
      <c r="A408" s="32"/>
      <c r="B408" s="200" t="s">
        <v>260</v>
      </c>
      <c r="C408" s="51">
        <v>5</v>
      </c>
      <c r="D408" s="201" t="s">
        <v>414</v>
      </c>
      <c r="E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</row>
    <row r="409" ht="15.75" customHeight="1">
      <c r="A409" s="32"/>
      <c r="B409" s="200" t="s">
        <v>262</v>
      </c>
      <c r="C409" s="51">
        <v>5</v>
      </c>
      <c r="D409" s="201" t="s">
        <v>414</v>
      </c>
      <c r="E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</row>
    <row r="410" ht="15.75" customHeight="1">
      <c r="A410" s="32"/>
      <c r="B410" s="200" t="s">
        <v>264</v>
      </c>
      <c r="C410" s="51">
        <v>5</v>
      </c>
      <c r="D410" s="201" t="s">
        <v>251</v>
      </c>
      <c r="E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</row>
    <row r="411" ht="15.75" customHeight="1">
      <c r="A411" s="32"/>
      <c r="B411" s="200" t="s">
        <v>266</v>
      </c>
      <c r="C411" s="51">
        <v>5</v>
      </c>
      <c r="D411" s="201" t="s">
        <v>251</v>
      </c>
      <c r="E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</row>
    <row r="412" ht="15.75" customHeight="1">
      <c r="A412" s="59"/>
      <c r="B412" s="203" t="s">
        <v>268</v>
      </c>
      <c r="C412" s="308">
        <f t="shared" si="0"/>
        <v>5</v>
      </c>
      <c r="D412" s="201"/>
      <c r="E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</row>
    <row r="413" ht="15.75" customHeight="1">
      <c r="A413" s="32"/>
      <c r="B413" s="205"/>
      <c r="C413" s="206"/>
      <c r="D413" s="207"/>
      <c r="E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</row>
    <row r="414" ht="15.75" customHeight="1">
      <c r="A414" s="32"/>
      <c r="B414" s="32"/>
      <c r="C414" s="41"/>
      <c r="D414" s="32"/>
      <c r="E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</row>
    <row r="415" ht="15.75" customHeight="1">
      <c r="A415" s="32"/>
      <c r="B415" s="32"/>
      <c r="C415" s="41"/>
      <c r="D415" s="32"/>
      <c r="E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</row>
    <row r="416" ht="15.75" customHeight="1">
      <c r="A416" s="32"/>
      <c r="B416" s="208"/>
      <c r="C416" s="209"/>
      <c r="D416" s="210"/>
      <c r="E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</row>
    <row r="417" ht="15.75" customHeight="1">
      <c r="A417" s="39"/>
      <c r="B417" s="309" t="s">
        <v>415</v>
      </c>
      <c r="C417" s="37"/>
      <c r="D417" s="194"/>
      <c r="E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</row>
    <row r="418" ht="15.75" customHeight="1">
      <c r="A418" s="32"/>
      <c r="B418" s="195"/>
      <c r="C418" s="41"/>
      <c r="D418" s="196"/>
      <c r="E418" s="32"/>
      <c r="F418" s="264"/>
      <c r="G418" s="265"/>
      <c r="H418" s="265"/>
      <c r="I418" s="266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</row>
    <row r="419" ht="15.75" customHeight="1">
      <c r="A419" s="32"/>
      <c r="B419" s="195" t="s">
        <v>282</v>
      </c>
      <c r="C419" s="41"/>
      <c r="D419" s="20"/>
      <c r="E419" s="32"/>
      <c r="F419" s="267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</row>
    <row r="420" ht="15.75" customHeight="1">
      <c r="A420" s="32"/>
      <c r="B420" s="195" t="s">
        <v>412</v>
      </c>
      <c r="C420" s="41"/>
      <c r="D420" s="20"/>
      <c r="E420" s="32"/>
      <c r="F420" s="264"/>
      <c r="G420" s="265"/>
      <c r="H420" s="265"/>
      <c r="I420" s="266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</row>
    <row r="421" ht="15.75" customHeight="1">
      <c r="A421" s="32"/>
      <c r="B421" s="195" t="s">
        <v>105</v>
      </c>
      <c r="C421" s="41"/>
      <c r="D421" s="20"/>
      <c r="E421" s="32"/>
      <c r="F421" s="264"/>
      <c r="G421" s="265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</row>
    <row r="422" ht="15.75" customHeight="1">
      <c r="A422" s="32"/>
      <c r="B422" s="195" t="s">
        <v>416</v>
      </c>
      <c r="C422" s="41"/>
      <c r="D422" s="196"/>
      <c r="E422" s="32"/>
      <c r="F422" s="264"/>
      <c r="G422" s="265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</row>
    <row r="423" ht="15.75" customHeight="1">
      <c r="A423" s="32"/>
      <c r="B423" s="195"/>
      <c r="C423" s="41"/>
      <c r="D423" s="196"/>
      <c r="E423" s="32"/>
      <c r="F423" s="264"/>
      <c r="G423" s="265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</row>
    <row r="424" ht="15.75" customHeight="1">
      <c r="A424" s="49"/>
      <c r="B424" s="310" t="s">
        <v>78</v>
      </c>
      <c r="C424" s="311" t="s">
        <v>249</v>
      </c>
      <c r="D424" s="312" t="s">
        <v>81</v>
      </c>
      <c r="E424" s="41"/>
      <c r="F424" s="264"/>
      <c r="G424" s="265"/>
      <c r="H424" s="265"/>
      <c r="I424" s="266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</row>
    <row r="425" ht="15.75" customHeight="1">
      <c r="A425" s="32"/>
      <c r="B425" s="200" t="s">
        <v>250</v>
      </c>
      <c r="C425" s="51">
        <v>5</v>
      </c>
      <c r="D425" s="201" t="s">
        <v>271</v>
      </c>
      <c r="E425" s="32"/>
      <c r="F425" s="269"/>
      <c r="G425" s="269"/>
      <c r="H425" s="269"/>
      <c r="I425" s="270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</row>
    <row r="426" ht="15.75" customHeight="1">
      <c r="A426" s="32"/>
      <c r="B426" s="200" t="s">
        <v>252</v>
      </c>
      <c r="C426" s="51">
        <v>5</v>
      </c>
      <c r="D426" s="201" t="s">
        <v>271</v>
      </c>
      <c r="E426" s="32"/>
      <c r="F426" s="264"/>
      <c r="G426" s="265"/>
      <c r="H426" s="265"/>
      <c r="I426" s="266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</row>
    <row r="427" ht="15.75" customHeight="1">
      <c r="A427" s="32"/>
      <c r="B427" s="200" t="s">
        <v>253</v>
      </c>
      <c r="C427" s="51">
        <v>5</v>
      </c>
      <c r="D427" s="201" t="s">
        <v>271</v>
      </c>
      <c r="E427" s="32"/>
      <c r="F427" s="264"/>
      <c r="G427" s="265"/>
      <c r="H427" s="265"/>
      <c r="I427" s="266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</row>
    <row r="428" ht="15.75" customHeight="1">
      <c r="A428" s="32"/>
      <c r="B428" s="200" t="s">
        <v>255</v>
      </c>
      <c r="C428" s="51">
        <v>4</v>
      </c>
      <c r="D428" s="201" t="s">
        <v>271</v>
      </c>
      <c r="E428" s="32"/>
      <c r="F428" s="264"/>
      <c r="G428" s="265"/>
      <c r="H428" s="265"/>
      <c r="I428" s="266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</row>
    <row r="429" ht="15.75" customHeight="1">
      <c r="A429" s="32"/>
      <c r="B429" s="200" t="s">
        <v>256</v>
      </c>
      <c r="C429" s="51">
        <v>5</v>
      </c>
      <c r="D429" s="201" t="s">
        <v>271</v>
      </c>
      <c r="E429" s="32"/>
      <c r="F429" s="264"/>
      <c r="G429" s="265"/>
      <c r="H429" s="265"/>
      <c r="I429" s="266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</row>
    <row r="430" ht="15.75" customHeight="1">
      <c r="A430" s="32"/>
      <c r="B430" s="200" t="s">
        <v>258</v>
      </c>
      <c r="C430" s="51">
        <v>4</v>
      </c>
      <c r="D430" s="201" t="s">
        <v>271</v>
      </c>
      <c r="E430" s="32"/>
      <c r="F430" s="264"/>
      <c r="G430" s="265"/>
      <c r="H430" s="265"/>
      <c r="I430" s="266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</row>
    <row r="431" ht="15.75" customHeight="1">
      <c r="A431" s="32"/>
      <c r="B431" s="200" t="s">
        <v>260</v>
      </c>
      <c r="C431" s="231">
        <v>5</v>
      </c>
      <c r="D431" s="201" t="s">
        <v>271</v>
      </c>
      <c r="E431" s="32"/>
      <c r="F431" s="264"/>
      <c r="G431" s="265"/>
      <c r="H431" s="265"/>
      <c r="I431" s="266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</row>
    <row r="432" ht="15.75" customHeight="1">
      <c r="A432" s="32"/>
      <c r="B432" s="200" t="s">
        <v>262</v>
      </c>
      <c r="C432" s="51">
        <v>4</v>
      </c>
      <c r="D432" s="201" t="s">
        <v>271</v>
      </c>
      <c r="E432" s="32"/>
      <c r="F432" s="264"/>
      <c r="G432" s="265"/>
      <c r="H432" s="265"/>
      <c r="I432" s="266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</row>
    <row r="433" ht="15.75" customHeight="1">
      <c r="A433" s="32"/>
      <c r="B433" s="200" t="s">
        <v>264</v>
      </c>
      <c r="C433" s="51">
        <v>5</v>
      </c>
      <c r="D433" s="201" t="s">
        <v>271</v>
      </c>
      <c r="E433" s="32"/>
      <c r="F433" s="264"/>
      <c r="G433" s="265"/>
      <c r="H433" s="265"/>
      <c r="I433" s="266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</row>
    <row r="434" ht="15.75" customHeight="1">
      <c r="A434" s="32"/>
      <c r="B434" s="200" t="s">
        <v>266</v>
      </c>
      <c r="C434" s="51">
        <v>5</v>
      </c>
      <c r="D434" s="201" t="s">
        <v>271</v>
      </c>
      <c r="E434" s="32"/>
      <c r="F434" s="264"/>
      <c r="G434" s="265"/>
      <c r="H434" s="265"/>
      <c r="I434" s="266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</row>
    <row r="435" ht="15.75" customHeight="1">
      <c r="A435" s="59"/>
      <c r="B435" s="203" t="s">
        <v>268</v>
      </c>
      <c r="C435" s="313">
        <f t="shared" si="0"/>
        <v>4.7</v>
      </c>
      <c r="D435" s="201"/>
      <c r="E435" s="32"/>
      <c r="F435" s="264"/>
      <c r="G435" s="272"/>
      <c r="H435" s="265"/>
      <c r="I435" s="266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</row>
    <row r="436" ht="15.75" customHeight="1">
      <c r="A436" s="32"/>
      <c r="B436" s="205"/>
      <c r="C436" s="206"/>
      <c r="D436" s="207"/>
      <c r="E436" s="32"/>
      <c r="F436" s="264"/>
      <c r="G436" s="273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</row>
    <row r="437" ht="15.75" customHeight="1">
      <c r="A437" s="32"/>
      <c r="B437" s="32"/>
      <c r="C437" s="41"/>
      <c r="D437" s="32"/>
      <c r="E437" s="32"/>
      <c r="F437" s="264"/>
      <c r="G437" s="265"/>
      <c r="H437" s="265"/>
      <c r="I437" s="266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</row>
    <row r="438" ht="15.75" customHeight="1">
      <c r="A438" s="32"/>
      <c r="B438" s="32"/>
      <c r="C438" s="41"/>
      <c r="D438" s="32"/>
      <c r="E438" s="32"/>
      <c r="F438" s="32"/>
      <c r="G438" s="41"/>
      <c r="H438" s="41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</row>
    <row r="439" ht="15.75" customHeight="1">
      <c r="A439" s="32"/>
      <c r="B439" s="208"/>
      <c r="C439" s="209"/>
      <c r="D439" s="210"/>
      <c r="E439" s="32"/>
      <c r="F439" s="32"/>
      <c r="G439" s="41"/>
      <c r="H439" s="41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</row>
    <row r="440" ht="15.75" customHeight="1">
      <c r="A440" s="39"/>
      <c r="B440" s="314" t="s">
        <v>417</v>
      </c>
      <c r="C440" s="37"/>
      <c r="D440" s="194"/>
      <c r="E440" s="32"/>
      <c r="F440" s="264"/>
      <c r="G440" s="265"/>
      <c r="H440" s="265"/>
      <c r="I440" s="266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</row>
    <row r="441" ht="15.75" customHeight="1">
      <c r="A441" s="32"/>
      <c r="B441" s="195"/>
      <c r="C441" s="41"/>
      <c r="D441" s="196"/>
      <c r="E441" s="32"/>
      <c r="F441" s="267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</row>
    <row r="442" ht="15.75" customHeight="1">
      <c r="A442" s="32"/>
      <c r="B442" s="195" t="s">
        <v>282</v>
      </c>
      <c r="C442" s="41"/>
      <c r="D442" s="20"/>
      <c r="E442" s="32"/>
      <c r="F442" s="264"/>
      <c r="G442" s="265"/>
      <c r="H442" s="265"/>
      <c r="I442" s="266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</row>
    <row r="443" ht="15.75" customHeight="1">
      <c r="A443" s="32"/>
      <c r="B443" s="195" t="s">
        <v>418</v>
      </c>
      <c r="C443" s="41"/>
      <c r="D443" s="20"/>
      <c r="E443" s="32"/>
      <c r="F443" s="264"/>
      <c r="G443" s="265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</row>
    <row r="444" ht="15.75" customHeight="1">
      <c r="A444" s="32"/>
      <c r="B444" s="195" t="s">
        <v>105</v>
      </c>
      <c r="C444" s="41"/>
      <c r="D444" s="20"/>
      <c r="E444" s="32"/>
      <c r="F444" s="264"/>
      <c r="G444" s="265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</row>
    <row r="445" ht="15.75" customHeight="1">
      <c r="A445" s="32"/>
      <c r="B445" s="195" t="s">
        <v>419</v>
      </c>
      <c r="C445" s="41"/>
      <c r="D445" s="196"/>
      <c r="E445" s="32"/>
      <c r="F445" s="264"/>
      <c r="G445" s="265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</row>
    <row r="446" ht="15.75" customHeight="1">
      <c r="A446" s="32"/>
      <c r="B446" s="195"/>
      <c r="C446" s="41"/>
      <c r="D446" s="196"/>
      <c r="E446" s="32"/>
      <c r="F446" s="264"/>
      <c r="G446" s="265"/>
      <c r="H446" s="265"/>
      <c r="I446" s="266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</row>
    <row r="447" ht="15.75" customHeight="1">
      <c r="A447" s="49"/>
      <c r="B447" s="315" t="s">
        <v>78</v>
      </c>
      <c r="C447" s="316" t="s">
        <v>249</v>
      </c>
      <c r="D447" s="317" t="s">
        <v>81</v>
      </c>
      <c r="E447" s="41"/>
      <c r="F447" s="269"/>
      <c r="G447" s="269"/>
      <c r="H447" s="269"/>
      <c r="I447" s="270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</row>
    <row r="448" ht="15.75" customHeight="1">
      <c r="A448" s="32"/>
      <c r="B448" s="200" t="s">
        <v>250</v>
      </c>
      <c r="C448" s="51">
        <v>4</v>
      </c>
      <c r="D448" s="201" t="s">
        <v>420</v>
      </c>
      <c r="E448" s="32"/>
      <c r="F448" s="264"/>
      <c r="G448" s="265"/>
      <c r="H448" s="265"/>
      <c r="I448" s="266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</row>
    <row r="449" ht="15.75" customHeight="1">
      <c r="A449" s="32"/>
      <c r="B449" s="200" t="s">
        <v>252</v>
      </c>
      <c r="C449" s="51">
        <v>3</v>
      </c>
      <c r="D449" s="201" t="s">
        <v>421</v>
      </c>
      <c r="E449" s="32"/>
      <c r="F449" s="264"/>
      <c r="G449" s="265"/>
      <c r="H449" s="265"/>
      <c r="I449" s="266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</row>
    <row r="450" ht="15.75" customHeight="1">
      <c r="A450" s="32"/>
      <c r="B450" s="200" t="s">
        <v>253</v>
      </c>
      <c r="C450" s="51">
        <v>5</v>
      </c>
      <c r="D450" s="201" t="s">
        <v>251</v>
      </c>
      <c r="E450" s="32"/>
      <c r="F450" s="264"/>
      <c r="G450" s="265"/>
      <c r="H450" s="265"/>
      <c r="I450" s="266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</row>
    <row r="451" ht="15.75" customHeight="1">
      <c r="A451" s="32"/>
      <c r="B451" s="200" t="s">
        <v>255</v>
      </c>
      <c r="C451" s="51">
        <v>3</v>
      </c>
      <c r="D451" s="201" t="s">
        <v>422</v>
      </c>
      <c r="E451" s="32"/>
      <c r="F451" s="264"/>
      <c r="G451" s="265"/>
      <c r="H451" s="265"/>
      <c r="I451" s="266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</row>
    <row r="452" ht="15.75" customHeight="1">
      <c r="A452" s="32"/>
      <c r="B452" s="200" t="s">
        <v>256</v>
      </c>
      <c r="C452" s="51">
        <v>5</v>
      </c>
      <c r="D452" s="201" t="s">
        <v>251</v>
      </c>
      <c r="E452" s="32"/>
      <c r="F452" s="264"/>
      <c r="G452" s="265"/>
      <c r="H452" s="265"/>
      <c r="I452" s="266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</row>
    <row r="453" ht="15.75" customHeight="1">
      <c r="A453" s="32"/>
      <c r="B453" s="200" t="s">
        <v>258</v>
      </c>
      <c r="C453" s="51">
        <v>4</v>
      </c>
      <c r="D453" s="201" t="s">
        <v>423</v>
      </c>
      <c r="E453" s="32"/>
      <c r="F453" s="264"/>
      <c r="G453" s="265"/>
      <c r="H453" s="265"/>
      <c r="I453" s="266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</row>
    <row r="454" ht="15.75" customHeight="1">
      <c r="A454" s="32"/>
      <c r="B454" s="200" t="s">
        <v>260</v>
      </c>
      <c r="C454" s="231">
        <v>3</v>
      </c>
      <c r="D454" s="201" t="s">
        <v>280</v>
      </c>
      <c r="E454" s="32"/>
      <c r="F454" s="264"/>
      <c r="G454" s="265"/>
      <c r="H454" s="265"/>
      <c r="I454" s="266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</row>
    <row r="455" ht="15.75" customHeight="1">
      <c r="A455" s="32"/>
      <c r="B455" s="200" t="s">
        <v>262</v>
      </c>
      <c r="C455" s="51">
        <v>4</v>
      </c>
      <c r="D455" s="201" t="s">
        <v>424</v>
      </c>
      <c r="E455" s="32"/>
      <c r="F455" s="264"/>
      <c r="G455" s="265"/>
      <c r="H455" s="265"/>
      <c r="I455" s="266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</row>
    <row r="456" ht="15.75" customHeight="1">
      <c r="A456" s="32"/>
      <c r="B456" s="200" t="s">
        <v>264</v>
      </c>
      <c r="C456" s="51">
        <v>4</v>
      </c>
      <c r="D456" s="201" t="s">
        <v>251</v>
      </c>
      <c r="E456" s="32"/>
      <c r="F456" s="264"/>
      <c r="G456" s="265"/>
      <c r="H456" s="265"/>
      <c r="I456" s="266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</row>
    <row r="457" ht="15.75" customHeight="1">
      <c r="A457" s="32"/>
      <c r="B457" s="200" t="s">
        <v>266</v>
      </c>
      <c r="C457" s="51">
        <v>4</v>
      </c>
      <c r="D457" s="201" t="s">
        <v>425</v>
      </c>
      <c r="E457" s="32"/>
      <c r="F457" s="264"/>
      <c r="G457" s="272"/>
      <c r="H457" s="265"/>
      <c r="I457" s="266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</row>
    <row r="458" ht="15.75" customHeight="1">
      <c r="A458" s="59"/>
      <c r="B458" s="203" t="s">
        <v>268</v>
      </c>
      <c r="C458" s="318">
        <f t="shared" si="0"/>
        <v>3.9</v>
      </c>
      <c r="D458" s="201"/>
      <c r="E458" s="32"/>
      <c r="F458" s="264"/>
      <c r="G458" s="273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</row>
    <row r="459" ht="15.75" customHeight="1">
      <c r="A459" s="32"/>
      <c r="B459" s="205"/>
      <c r="C459" s="206"/>
      <c r="D459" s="207"/>
      <c r="E459" s="32"/>
      <c r="F459" s="264"/>
      <c r="G459" s="265"/>
      <c r="H459" s="265"/>
      <c r="I459" s="266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</row>
    <row r="460" ht="15.75" customHeight="1">
      <c r="A460" s="32"/>
      <c r="B460" s="32"/>
      <c r="C460" s="41"/>
      <c r="D460" s="32"/>
      <c r="E460" s="32"/>
      <c r="F460" s="32"/>
      <c r="G460" s="41"/>
      <c r="H460" s="41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</row>
    <row r="461" ht="15.75" customHeight="1">
      <c r="A461" s="32"/>
      <c r="B461" s="32"/>
      <c r="C461" s="41"/>
      <c r="D461" s="32"/>
      <c r="E461" s="32"/>
      <c r="F461" s="32"/>
      <c r="G461" s="41"/>
      <c r="H461" s="41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</row>
    <row r="462" ht="15.75" customHeight="1">
      <c r="A462" s="32"/>
      <c r="B462" s="32"/>
      <c r="C462" s="41"/>
      <c r="D462" s="32"/>
      <c r="E462" s="32"/>
      <c r="F462" s="32"/>
      <c r="G462" s="41"/>
      <c r="H462" s="41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</row>
    <row r="463" ht="15.75" customHeight="1">
      <c r="A463" s="32"/>
      <c r="B463" s="32"/>
      <c r="C463" s="41"/>
      <c r="D463" s="32"/>
      <c r="E463" s="32"/>
      <c r="F463" s="32"/>
      <c r="G463" s="41"/>
      <c r="H463" s="41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</row>
    <row r="464" ht="15.75" customHeight="1">
      <c r="A464" s="32"/>
      <c r="B464" s="32"/>
      <c r="C464" s="41"/>
      <c r="D464" s="32"/>
      <c r="E464" s="32"/>
      <c r="F464" s="32"/>
      <c r="G464" s="41"/>
      <c r="H464" s="41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</row>
    <row r="465" ht="15.75" customHeight="1">
      <c r="A465" s="32"/>
      <c r="B465" s="32"/>
      <c r="C465" s="41"/>
      <c r="D465" s="32"/>
      <c r="E465" s="32"/>
      <c r="F465" s="32"/>
      <c r="G465" s="41"/>
      <c r="H465" s="41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</row>
    <row r="466" ht="15.75" customHeight="1">
      <c r="A466" s="32"/>
      <c r="B466" s="32"/>
      <c r="C466" s="41"/>
      <c r="D466" s="32"/>
      <c r="E466" s="32"/>
      <c r="F466" s="32"/>
      <c r="G466" s="41"/>
      <c r="H466" s="41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</row>
    <row r="467" ht="15.75" customHeight="1">
      <c r="A467" s="32"/>
      <c r="B467" s="32"/>
      <c r="C467" s="41"/>
      <c r="D467" s="32"/>
      <c r="E467" s="32"/>
      <c r="F467" s="32"/>
      <c r="G467" s="41"/>
      <c r="H467" s="41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</row>
    <row r="468" ht="15.75" customHeight="1">
      <c r="A468" s="32"/>
      <c r="B468" s="32"/>
      <c r="C468" s="41"/>
      <c r="D468" s="32"/>
      <c r="E468" s="32"/>
      <c r="F468" s="32"/>
      <c r="G468" s="41"/>
      <c r="H468" s="41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</row>
    <row r="469" ht="15.75" customHeight="1">
      <c r="A469" s="32"/>
      <c r="B469" s="32"/>
      <c r="C469" s="41"/>
      <c r="D469" s="32"/>
      <c r="E469" s="32"/>
      <c r="F469" s="32"/>
      <c r="G469" s="41"/>
      <c r="H469" s="41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</row>
    <row r="470" ht="15.75" customHeight="1">
      <c r="A470" s="32"/>
      <c r="B470" s="32"/>
      <c r="C470" s="41"/>
      <c r="D470" s="32"/>
      <c r="E470" s="32"/>
      <c r="F470" s="32"/>
      <c r="G470" s="41"/>
      <c r="H470" s="41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</row>
    <row r="471" ht="15.75" customHeight="1">
      <c r="A471" s="32"/>
      <c r="B471" s="32"/>
      <c r="C471" s="41"/>
      <c r="D471" s="32"/>
      <c r="E471" s="32"/>
      <c r="F471" s="32"/>
      <c r="G471" s="41"/>
      <c r="H471" s="41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</row>
    <row r="472" ht="15.75" customHeight="1">
      <c r="A472" s="32"/>
      <c r="B472" s="32"/>
      <c r="C472" s="41"/>
      <c r="D472" s="32"/>
      <c r="E472" s="32"/>
      <c r="F472" s="32"/>
      <c r="G472" s="41"/>
      <c r="H472" s="41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</row>
    <row r="473" ht="15.75" customHeight="1">
      <c r="A473" s="32"/>
      <c r="B473" s="32"/>
      <c r="C473" s="41"/>
      <c r="D473" s="32"/>
      <c r="E473" s="32"/>
      <c r="F473" s="32"/>
      <c r="G473" s="41"/>
      <c r="H473" s="41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</row>
    <row r="474" ht="15.75" customHeight="1">
      <c r="A474" s="32"/>
      <c r="B474" s="32"/>
      <c r="C474" s="41"/>
      <c r="D474" s="32"/>
      <c r="E474" s="32"/>
      <c r="F474" s="32"/>
      <c r="G474" s="41"/>
      <c r="H474" s="41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</row>
    <row r="475" ht="15.75" customHeight="1">
      <c r="A475" s="32"/>
      <c r="B475" s="32"/>
      <c r="C475" s="41"/>
      <c r="D475" s="32"/>
      <c r="E475" s="32"/>
      <c r="F475" s="32"/>
      <c r="G475" s="41"/>
      <c r="H475" s="41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</row>
    <row r="476" ht="15.75" customHeight="1">
      <c r="A476" s="32"/>
      <c r="B476" s="32"/>
      <c r="C476" s="41"/>
      <c r="D476" s="32"/>
      <c r="E476" s="32"/>
      <c r="F476" s="32"/>
      <c r="G476" s="41"/>
      <c r="H476" s="41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</row>
    <row r="477" ht="15.75" customHeight="1">
      <c r="A477" s="32"/>
      <c r="B477" s="32"/>
      <c r="C477" s="41"/>
      <c r="D477" s="32"/>
      <c r="E477" s="32"/>
      <c r="F477" s="32"/>
      <c r="G477" s="41"/>
      <c r="H477" s="41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</row>
    <row r="478" ht="15.75" customHeight="1">
      <c r="A478" s="32"/>
      <c r="B478" s="32"/>
      <c r="C478" s="41"/>
      <c r="D478" s="32"/>
      <c r="E478" s="32"/>
      <c r="F478" s="32"/>
      <c r="G478" s="41"/>
      <c r="H478" s="41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</row>
    <row r="479" ht="15.75" customHeight="1">
      <c r="A479" s="32"/>
      <c r="B479" s="32"/>
      <c r="C479" s="41"/>
      <c r="D479" s="32"/>
      <c r="E479" s="32"/>
      <c r="F479" s="32"/>
      <c r="G479" s="41"/>
      <c r="H479" s="41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</row>
    <row r="480" ht="15.75" customHeight="1">
      <c r="A480" s="32"/>
      <c r="B480" s="32"/>
      <c r="C480" s="41"/>
      <c r="D480" s="32"/>
      <c r="E480" s="32"/>
      <c r="F480" s="32"/>
      <c r="G480" s="41"/>
      <c r="H480" s="41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</row>
    <row r="481" ht="15.75" customHeight="1">
      <c r="A481" s="32"/>
      <c r="B481" s="32"/>
      <c r="C481" s="41"/>
      <c r="D481" s="32"/>
      <c r="E481" s="32"/>
      <c r="F481" s="32"/>
      <c r="G481" s="41"/>
      <c r="H481" s="41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</row>
    <row r="482" ht="15.75" customHeight="1">
      <c r="A482" s="32"/>
      <c r="B482" s="32"/>
      <c r="C482" s="41"/>
      <c r="D482" s="32"/>
      <c r="E482" s="32"/>
      <c r="F482" s="32"/>
      <c r="G482" s="41"/>
      <c r="H482" s="41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</row>
    <row r="483" ht="15.75" customHeight="1">
      <c r="A483" s="32"/>
      <c r="B483" s="32"/>
      <c r="C483" s="41"/>
      <c r="D483" s="32"/>
      <c r="E483" s="32"/>
      <c r="F483" s="32"/>
      <c r="G483" s="41"/>
      <c r="H483" s="41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</row>
    <row r="484" ht="15.75" customHeight="1">
      <c r="A484" s="32"/>
      <c r="B484" s="32"/>
      <c r="C484" s="41"/>
      <c r="D484" s="32"/>
      <c r="E484" s="32"/>
      <c r="F484" s="32"/>
      <c r="G484" s="41"/>
      <c r="H484" s="41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</row>
    <row r="485" ht="15.75" customHeight="1">
      <c r="A485" s="32"/>
      <c r="B485" s="32"/>
      <c r="C485" s="41"/>
      <c r="D485" s="32"/>
      <c r="E485" s="32"/>
      <c r="F485" s="32"/>
      <c r="G485" s="41"/>
      <c r="H485" s="41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</row>
    <row r="486" ht="15.75" customHeight="1">
      <c r="A486" s="32"/>
      <c r="B486" s="32"/>
      <c r="C486" s="41"/>
      <c r="D486" s="32"/>
      <c r="E486" s="32"/>
      <c r="F486" s="32"/>
      <c r="G486" s="41"/>
      <c r="H486" s="41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</row>
    <row r="487" ht="15.75" customHeight="1">
      <c r="A487" s="32"/>
      <c r="B487" s="32"/>
      <c r="C487" s="41"/>
      <c r="D487" s="32"/>
      <c r="E487" s="32"/>
      <c r="F487" s="32"/>
      <c r="G487" s="41"/>
      <c r="H487" s="41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</row>
    <row r="488" ht="15.75" customHeight="1">
      <c r="A488" s="32"/>
      <c r="B488" s="32"/>
      <c r="C488" s="41"/>
      <c r="D488" s="32"/>
      <c r="E488" s="32"/>
      <c r="F488" s="32"/>
      <c r="G488" s="41"/>
      <c r="H488" s="41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</row>
    <row r="489" ht="15.75" customHeight="1">
      <c r="A489" s="32"/>
      <c r="B489" s="32"/>
      <c r="C489" s="41"/>
      <c r="D489" s="32"/>
      <c r="E489" s="32"/>
      <c r="F489" s="32"/>
      <c r="G489" s="41"/>
      <c r="H489" s="41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</row>
    <row r="490" ht="15.75" customHeight="1">
      <c r="A490" s="32"/>
      <c r="B490" s="32"/>
      <c r="C490" s="41"/>
      <c r="D490" s="32"/>
      <c r="E490" s="32"/>
      <c r="F490" s="32"/>
      <c r="G490" s="41"/>
      <c r="H490" s="41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</row>
    <row r="491" ht="15.75" customHeight="1">
      <c r="A491" s="32"/>
      <c r="B491" s="32"/>
      <c r="C491" s="41"/>
      <c r="D491" s="32"/>
      <c r="E491" s="32"/>
      <c r="F491" s="32"/>
      <c r="G491" s="41"/>
      <c r="H491" s="41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</row>
    <row r="492" ht="15.75" customHeight="1">
      <c r="A492" s="32"/>
      <c r="B492" s="32"/>
      <c r="C492" s="41"/>
      <c r="D492" s="32"/>
      <c r="E492" s="32"/>
      <c r="F492" s="32"/>
      <c r="G492" s="41"/>
      <c r="H492" s="41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</row>
    <row r="493" ht="15.75" customHeight="1">
      <c r="A493" s="32"/>
      <c r="B493" s="32"/>
      <c r="C493" s="41"/>
      <c r="D493" s="32"/>
      <c r="E493" s="32"/>
      <c r="F493" s="32"/>
      <c r="G493" s="41"/>
      <c r="H493" s="41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</row>
    <row r="494" ht="15.75" customHeight="1">
      <c r="A494" s="32"/>
      <c r="B494" s="32"/>
      <c r="C494" s="41"/>
      <c r="D494" s="32"/>
      <c r="E494" s="32"/>
      <c r="F494" s="32"/>
      <c r="G494" s="41"/>
      <c r="H494" s="41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</row>
    <row r="495" ht="15.75" customHeight="1">
      <c r="A495" s="32"/>
      <c r="B495" s="32"/>
      <c r="C495" s="41"/>
      <c r="D495" s="32"/>
      <c r="E495" s="32"/>
      <c r="F495" s="32"/>
      <c r="G495" s="41"/>
      <c r="H495" s="41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</row>
    <row r="496" ht="15.75" customHeight="1">
      <c r="A496" s="32"/>
      <c r="B496" s="32"/>
      <c r="C496" s="41"/>
      <c r="D496" s="32"/>
      <c r="E496" s="32"/>
      <c r="F496" s="32"/>
      <c r="G496" s="41"/>
      <c r="H496" s="41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</row>
    <row r="497" ht="15.75" customHeight="1">
      <c r="A497" s="32"/>
      <c r="B497" s="32"/>
      <c r="C497" s="41"/>
      <c r="D497" s="32"/>
      <c r="E497" s="32"/>
      <c r="F497" s="32"/>
      <c r="G497" s="41"/>
      <c r="H497" s="41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</row>
    <row r="498" ht="15.75" customHeight="1">
      <c r="A498" s="32"/>
      <c r="B498" s="32"/>
      <c r="C498" s="41"/>
      <c r="D498" s="32"/>
      <c r="E498" s="32"/>
      <c r="F498" s="32"/>
      <c r="G498" s="41"/>
      <c r="H498" s="41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</row>
    <row r="499" ht="15.75" customHeight="1">
      <c r="A499" s="32"/>
      <c r="B499" s="32"/>
      <c r="C499" s="41"/>
      <c r="D499" s="32"/>
      <c r="E499" s="32"/>
      <c r="F499" s="32"/>
      <c r="G499" s="41"/>
      <c r="H499" s="41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</row>
    <row r="500" ht="15.75" customHeight="1">
      <c r="A500" s="32"/>
      <c r="B500" s="32"/>
      <c r="C500" s="41"/>
      <c r="D500" s="32"/>
      <c r="E500" s="32"/>
      <c r="F500" s="32"/>
      <c r="G500" s="41"/>
      <c r="H500" s="41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</row>
    <row r="501" ht="15.75" customHeight="1">
      <c r="A501" s="32"/>
      <c r="B501" s="32"/>
      <c r="C501" s="41"/>
      <c r="D501" s="32"/>
      <c r="E501" s="32"/>
      <c r="F501" s="32"/>
      <c r="G501" s="41"/>
      <c r="H501" s="41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</row>
    <row r="502" ht="15.75" customHeight="1">
      <c r="A502" s="32"/>
      <c r="B502" s="32"/>
      <c r="C502" s="41"/>
      <c r="D502" s="32"/>
      <c r="E502" s="32"/>
      <c r="F502" s="32"/>
      <c r="G502" s="41"/>
      <c r="H502" s="41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</row>
    <row r="503" ht="15.75" customHeight="1">
      <c r="A503" s="32"/>
      <c r="B503" s="32"/>
      <c r="C503" s="41"/>
      <c r="D503" s="32"/>
      <c r="E503" s="32"/>
      <c r="F503" s="32"/>
      <c r="G503" s="41"/>
      <c r="H503" s="41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</row>
    <row r="504" ht="15.75" customHeight="1">
      <c r="A504" s="32"/>
      <c r="B504" s="32"/>
      <c r="C504" s="41"/>
      <c r="D504" s="32"/>
      <c r="E504" s="32"/>
      <c r="F504" s="32"/>
      <c r="G504" s="41"/>
      <c r="H504" s="41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</row>
    <row r="505" ht="15.75" customHeight="1">
      <c r="A505" s="32"/>
      <c r="B505" s="32"/>
      <c r="C505" s="41"/>
      <c r="D505" s="32"/>
      <c r="E505" s="32"/>
      <c r="F505" s="32"/>
      <c r="G505" s="41"/>
      <c r="H505" s="41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</row>
    <row r="506" ht="15.75" customHeight="1">
      <c r="A506" s="32"/>
      <c r="B506" s="32"/>
      <c r="C506" s="41"/>
      <c r="D506" s="32"/>
      <c r="E506" s="32"/>
      <c r="F506" s="32"/>
      <c r="G506" s="41"/>
      <c r="H506" s="41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</row>
    <row r="507" ht="15.75" customHeight="1">
      <c r="A507" s="32"/>
      <c r="B507" s="32"/>
      <c r="C507" s="41"/>
      <c r="D507" s="32"/>
      <c r="E507" s="32"/>
      <c r="F507" s="32"/>
      <c r="G507" s="41"/>
      <c r="H507" s="41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</row>
    <row r="508" ht="15.75" customHeight="1">
      <c r="A508" s="32"/>
      <c r="B508" s="32"/>
      <c r="C508" s="41"/>
      <c r="D508" s="32"/>
      <c r="E508" s="32"/>
      <c r="F508" s="32"/>
      <c r="G508" s="41"/>
      <c r="H508" s="41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</row>
    <row r="509" ht="15.75" customHeight="1">
      <c r="A509" s="32"/>
      <c r="B509" s="32"/>
      <c r="C509" s="41"/>
      <c r="D509" s="32"/>
      <c r="E509" s="32"/>
      <c r="F509" s="32"/>
      <c r="G509" s="41"/>
      <c r="H509" s="41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</row>
    <row r="510" ht="15.75" customHeight="1">
      <c r="A510" s="32"/>
      <c r="B510" s="32"/>
      <c r="C510" s="41"/>
      <c r="D510" s="32"/>
      <c r="E510" s="32"/>
      <c r="F510" s="32"/>
      <c r="G510" s="41"/>
      <c r="H510" s="41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</row>
    <row r="511" ht="15.75" customHeight="1">
      <c r="A511" s="32"/>
      <c r="B511" s="32"/>
      <c r="C511" s="41"/>
      <c r="D511" s="32"/>
      <c r="E511" s="32"/>
      <c r="F511" s="32"/>
      <c r="G511" s="41"/>
      <c r="H511" s="41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</row>
    <row r="512" ht="15.75" customHeight="1">
      <c r="A512" s="32"/>
      <c r="B512" s="32"/>
      <c r="C512" s="41"/>
      <c r="D512" s="32"/>
      <c r="E512" s="32"/>
      <c r="F512" s="32"/>
      <c r="G512" s="41"/>
      <c r="H512" s="41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</row>
    <row r="513" ht="15.75" customHeight="1">
      <c r="A513" s="32"/>
      <c r="B513" s="32"/>
      <c r="C513" s="41"/>
      <c r="D513" s="32"/>
      <c r="E513" s="32"/>
      <c r="F513" s="32"/>
      <c r="G513" s="41"/>
      <c r="H513" s="41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</row>
    <row r="514" ht="15.75" customHeight="1">
      <c r="A514" s="32"/>
      <c r="B514" s="32"/>
      <c r="C514" s="41"/>
      <c r="D514" s="32"/>
      <c r="E514" s="32"/>
      <c r="F514" s="32"/>
      <c r="G514" s="41"/>
      <c r="H514" s="41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</row>
    <row r="515" ht="15.75" customHeight="1">
      <c r="A515" s="32"/>
      <c r="B515" s="32"/>
      <c r="C515" s="41"/>
      <c r="D515" s="32"/>
      <c r="E515" s="32"/>
      <c r="F515" s="32"/>
      <c r="G515" s="41"/>
      <c r="H515" s="41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</row>
    <row r="516" ht="15.75" customHeight="1">
      <c r="A516" s="32"/>
      <c r="B516" s="32"/>
      <c r="C516" s="41"/>
      <c r="D516" s="32"/>
      <c r="E516" s="32"/>
      <c r="F516" s="32"/>
      <c r="G516" s="41"/>
      <c r="H516" s="41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</row>
    <row r="517" ht="15.75" customHeight="1">
      <c r="A517" s="32"/>
      <c r="B517" s="32"/>
      <c r="C517" s="41"/>
      <c r="D517" s="32"/>
      <c r="E517" s="32"/>
      <c r="F517" s="32"/>
      <c r="G517" s="41"/>
      <c r="H517" s="41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</row>
    <row r="518" ht="15.75" customHeight="1">
      <c r="A518" s="32"/>
      <c r="B518" s="32"/>
      <c r="C518" s="41"/>
      <c r="D518" s="32"/>
      <c r="E518" s="32"/>
      <c r="F518" s="32"/>
      <c r="G518" s="41"/>
      <c r="H518" s="41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</row>
    <row r="519" ht="15.75" customHeight="1">
      <c r="A519" s="32"/>
      <c r="B519" s="32"/>
      <c r="C519" s="41"/>
      <c r="D519" s="32"/>
      <c r="E519" s="32"/>
      <c r="F519" s="32"/>
      <c r="G519" s="41"/>
      <c r="H519" s="41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</row>
    <row r="520" ht="15.75" customHeight="1">
      <c r="A520" s="32"/>
      <c r="B520" s="32"/>
      <c r="C520" s="41"/>
      <c r="D520" s="32"/>
      <c r="E520" s="32"/>
      <c r="F520" s="32"/>
      <c r="G520" s="41"/>
      <c r="H520" s="41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</row>
    <row r="521" ht="15.75" customHeight="1">
      <c r="A521" s="32"/>
      <c r="B521" s="32"/>
      <c r="C521" s="41"/>
      <c r="D521" s="32"/>
      <c r="E521" s="32"/>
      <c r="F521" s="32"/>
      <c r="G521" s="41"/>
      <c r="H521" s="41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</row>
    <row r="522" ht="15.75" customHeight="1">
      <c r="A522" s="32"/>
      <c r="B522" s="32"/>
      <c r="C522" s="41"/>
      <c r="D522" s="32"/>
      <c r="E522" s="32"/>
      <c r="F522" s="32"/>
      <c r="G522" s="41"/>
      <c r="H522" s="41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</row>
    <row r="523" ht="15.75" customHeight="1">
      <c r="A523" s="32"/>
      <c r="B523" s="32"/>
      <c r="C523" s="41"/>
      <c r="D523" s="32"/>
      <c r="E523" s="32"/>
      <c r="F523" s="32"/>
      <c r="G523" s="41"/>
      <c r="H523" s="41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</row>
    <row r="524" ht="15.75" customHeight="1">
      <c r="A524" s="32"/>
      <c r="B524" s="32"/>
      <c r="C524" s="41"/>
      <c r="D524" s="32"/>
      <c r="E524" s="32"/>
      <c r="F524" s="32"/>
      <c r="G524" s="41"/>
      <c r="H524" s="41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</row>
    <row r="525" ht="15.75" customHeight="1">
      <c r="A525" s="32"/>
      <c r="B525" s="32"/>
      <c r="C525" s="41"/>
      <c r="D525" s="32"/>
      <c r="E525" s="32"/>
      <c r="F525" s="32"/>
      <c r="G525" s="41"/>
      <c r="H525" s="41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</row>
    <row r="526" ht="15.75" customHeight="1">
      <c r="A526" s="32"/>
      <c r="B526" s="32"/>
      <c r="C526" s="41"/>
      <c r="D526" s="32"/>
      <c r="E526" s="32"/>
      <c r="F526" s="32"/>
      <c r="G526" s="41"/>
      <c r="H526" s="41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</row>
    <row r="527" ht="15.75" customHeight="1">
      <c r="A527" s="32"/>
      <c r="B527" s="32"/>
      <c r="C527" s="41"/>
      <c r="D527" s="32"/>
      <c r="E527" s="32"/>
      <c r="F527" s="32"/>
      <c r="G527" s="41"/>
      <c r="H527" s="41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</row>
    <row r="528" ht="15.75" customHeight="1">
      <c r="A528" s="32"/>
      <c r="B528" s="32"/>
      <c r="C528" s="41"/>
      <c r="D528" s="32"/>
      <c r="E528" s="32"/>
      <c r="F528" s="32"/>
      <c r="G528" s="41"/>
      <c r="H528" s="41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</row>
    <row r="529" ht="15.75" customHeight="1">
      <c r="A529" s="32"/>
      <c r="B529" s="32"/>
      <c r="C529" s="41"/>
      <c r="D529" s="32"/>
      <c r="E529" s="32"/>
      <c r="F529" s="32"/>
      <c r="G529" s="41"/>
      <c r="H529" s="41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</row>
    <row r="530" ht="15.75" customHeight="1">
      <c r="A530" s="32"/>
      <c r="B530" s="32"/>
      <c r="C530" s="41"/>
      <c r="D530" s="32"/>
      <c r="E530" s="32"/>
      <c r="F530" s="32"/>
      <c r="G530" s="41"/>
      <c r="H530" s="41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</row>
    <row r="531" ht="15.75" customHeight="1">
      <c r="A531" s="32"/>
      <c r="B531" s="32"/>
      <c r="C531" s="41"/>
      <c r="D531" s="32"/>
      <c r="E531" s="32"/>
      <c r="F531" s="32"/>
      <c r="G531" s="41"/>
      <c r="H531" s="41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</row>
    <row r="532" ht="15.75" customHeight="1">
      <c r="A532" s="32"/>
      <c r="B532" s="32"/>
      <c r="C532" s="41"/>
      <c r="D532" s="32"/>
      <c r="E532" s="32"/>
      <c r="F532" s="32"/>
      <c r="G532" s="41"/>
      <c r="H532" s="41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</row>
    <row r="533" ht="15.75" customHeight="1">
      <c r="A533" s="32"/>
      <c r="B533" s="32"/>
      <c r="C533" s="41"/>
      <c r="D533" s="32"/>
      <c r="E533" s="32"/>
      <c r="F533" s="32"/>
      <c r="G533" s="41"/>
      <c r="H533" s="41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</row>
    <row r="534" ht="15.75" customHeight="1">
      <c r="A534" s="32"/>
      <c r="B534" s="32"/>
      <c r="C534" s="41"/>
      <c r="D534" s="32"/>
      <c r="E534" s="32"/>
      <c r="F534" s="32"/>
      <c r="G534" s="41"/>
      <c r="H534" s="41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</row>
    <row r="535" ht="15.75" customHeight="1">
      <c r="A535" s="32"/>
      <c r="B535" s="32"/>
      <c r="C535" s="41"/>
      <c r="D535" s="32"/>
      <c r="E535" s="32"/>
      <c r="F535" s="32"/>
      <c r="G535" s="41"/>
      <c r="H535" s="41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</row>
    <row r="536" ht="15.75" customHeight="1">
      <c r="A536" s="32"/>
      <c r="B536" s="32"/>
      <c r="C536" s="41"/>
      <c r="D536" s="32"/>
      <c r="E536" s="32"/>
      <c r="F536" s="32"/>
      <c r="G536" s="41"/>
      <c r="H536" s="41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</row>
    <row r="537" ht="15.75" customHeight="1">
      <c r="A537" s="32"/>
      <c r="B537" s="32"/>
      <c r="C537" s="41"/>
      <c r="D537" s="32"/>
      <c r="E537" s="32"/>
      <c r="F537" s="32"/>
      <c r="G537" s="41"/>
      <c r="H537" s="41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</row>
    <row r="538" ht="15.75" customHeight="1">
      <c r="A538" s="32"/>
      <c r="B538" s="32"/>
      <c r="C538" s="41"/>
      <c r="D538" s="32"/>
      <c r="E538" s="32"/>
      <c r="F538" s="32"/>
      <c r="G538" s="41"/>
      <c r="H538" s="41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</row>
    <row r="539" ht="15.75" customHeight="1">
      <c r="A539" s="32"/>
      <c r="B539" s="32"/>
      <c r="C539" s="41"/>
      <c r="D539" s="32"/>
      <c r="E539" s="32"/>
      <c r="F539" s="32"/>
      <c r="G539" s="41"/>
      <c r="H539" s="41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</row>
    <row r="540" ht="15.75" customHeight="1">
      <c r="A540" s="32"/>
      <c r="B540" s="32"/>
      <c r="C540" s="41"/>
      <c r="D540" s="32"/>
      <c r="E540" s="32"/>
      <c r="F540" s="32"/>
      <c r="G540" s="41"/>
      <c r="H540" s="41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</row>
    <row r="541" ht="15.75" customHeight="1">
      <c r="A541" s="32"/>
      <c r="B541" s="32"/>
      <c r="C541" s="41"/>
      <c r="D541" s="32"/>
      <c r="E541" s="32"/>
      <c r="F541" s="32"/>
      <c r="G541" s="41"/>
      <c r="H541" s="41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</row>
    <row r="542" ht="15.75" customHeight="1">
      <c r="A542" s="32"/>
      <c r="B542" s="32"/>
      <c r="C542" s="41"/>
      <c r="D542" s="32"/>
      <c r="E542" s="32"/>
      <c r="F542" s="32"/>
      <c r="G542" s="41"/>
      <c r="H542" s="41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</row>
    <row r="543" ht="15.75" customHeight="1">
      <c r="A543" s="32"/>
      <c r="B543" s="32"/>
      <c r="C543" s="41"/>
      <c r="D543" s="32"/>
      <c r="E543" s="32"/>
      <c r="F543" s="32"/>
      <c r="G543" s="41"/>
      <c r="H543" s="41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</row>
    <row r="544" ht="15.75" customHeight="1">
      <c r="A544" s="32"/>
      <c r="B544" s="32"/>
      <c r="C544" s="41"/>
      <c r="D544" s="32"/>
      <c r="E544" s="32"/>
      <c r="F544" s="32"/>
      <c r="G544" s="41"/>
      <c r="H544" s="41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</row>
    <row r="545" ht="15.75" customHeight="1">
      <c r="A545" s="32"/>
      <c r="B545" s="32"/>
      <c r="C545" s="41"/>
      <c r="D545" s="32"/>
      <c r="E545" s="32"/>
      <c r="F545" s="32"/>
      <c r="G545" s="41"/>
      <c r="H545" s="41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</row>
    <row r="546" ht="15.75" customHeight="1">
      <c r="A546" s="32"/>
      <c r="B546" s="32"/>
      <c r="C546" s="41"/>
      <c r="D546" s="32"/>
      <c r="E546" s="32"/>
      <c r="F546" s="32"/>
      <c r="G546" s="41"/>
      <c r="H546" s="41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</row>
    <row r="547" ht="15.75" customHeight="1">
      <c r="A547" s="32"/>
      <c r="B547" s="32"/>
      <c r="C547" s="41"/>
      <c r="D547" s="32"/>
      <c r="E547" s="32"/>
      <c r="F547" s="32"/>
      <c r="G547" s="41"/>
      <c r="H547" s="41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</row>
    <row r="548" ht="15.75" customHeight="1">
      <c r="A548" s="32"/>
      <c r="B548" s="32"/>
      <c r="C548" s="41"/>
      <c r="D548" s="32"/>
      <c r="E548" s="32"/>
      <c r="F548" s="32"/>
      <c r="G548" s="41"/>
      <c r="H548" s="41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</row>
    <row r="549" ht="15.75" customHeight="1">
      <c r="A549" s="32"/>
      <c r="B549" s="32"/>
      <c r="C549" s="41"/>
      <c r="D549" s="32"/>
      <c r="E549" s="32"/>
      <c r="F549" s="32"/>
      <c r="G549" s="41"/>
      <c r="H549" s="41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</row>
    <row r="550" ht="15.75" customHeight="1">
      <c r="A550" s="32"/>
      <c r="B550" s="32"/>
      <c r="C550" s="41"/>
      <c r="D550" s="32"/>
      <c r="E550" s="32"/>
      <c r="F550" s="32"/>
      <c r="G550" s="41"/>
      <c r="H550" s="41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</row>
    <row r="551" ht="15.75" customHeight="1">
      <c r="A551" s="32"/>
      <c r="B551" s="32"/>
      <c r="C551" s="41"/>
      <c r="D551" s="32"/>
      <c r="E551" s="32"/>
      <c r="F551" s="32"/>
      <c r="G551" s="41"/>
      <c r="H551" s="41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</row>
    <row r="552" ht="15.75" customHeight="1">
      <c r="A552" s="32"/>
      <c r="B552" s="32"/>
      <c r="C552" s="41"/>
      <c r="D552" s="32"/>
      <c r="E552" s="32"/>
      <c r="F552" s="32"/>
      <c r="G552" s="41"/>
      <c r="H552" s="41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</row>
    <row r="553" ht="15.75" customHeight="1">
      <c r="A553" s="32"/>
      <c r="B553" s="32"/>
      <c r="C553" s="41"/>
      <c r="D553" s="32"/>
      <c r="E553" s="32"/>
      <c r="F553" s="32"/>
      <c r="G553" s="41"/>
      <c r="H553" s="41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</row>
    <row r="554" ht="15.75" customHeight="1">
      <c r="A554" s="32"/>
      <c r="B554" s="32"/>
      <c r="C554" s="41"/>
      <c r="D554" s="32"/>
      <c r="E554" s="32"/>
      <c r="F554" s="32"/>
      <c r="G554" s="41"/>
      <c r="H554" s="41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</row>
    <row r="555" ht="15.75" customHeight="1">
      <c r="A555" s="32"/>
      <c r="B555" s="32"/>
      <c r="C555" s="41"/>
      <c r="D555" s="32"/>
      <c r="E555" s="32"/>
      <c r="F555" s="32"/>
      <c r="G555" s="41"/>
      <c r="H555" s="41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</row>
    <row r="556" ht="15.75" customHeight="1">
      <c r="A556" s="32"/>
      <c r="B556" s="32"/>
      <c r="C556" s="41"/>
      <c r="D556" s="32"/>
      <c r="E556" s="32"/>
      <c r="F556" s="32"/>
      <c r="G556" s="41"/>
      <c r="H556" s="41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</row>
    <row r="557" ht="15.75" customHeight="1">
      <c r="A557" s="32"/>
      <c r="B557" s="32"/>
      <c r="C557" s="41"/>
      <c r="D557" s="32"/>
      <c r="E557" s="32"/>
      <c r="F557" s="32"/>
      <c r="G557" s="41"/>
      <c r="H557" s="41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</row>
    <row r="558" ht="15.75" customHeight="1">
      <c r="A558" s="32"/>
      <c r="B558" s="32"/>
      <c r="C558" s="41"/>
      <c r="D558" s="32"/>
      <c r="E558" s="32"/>
      <c r="F558" s="32"/>
      <c r="G558" s="41"/>
      <c r="H558" s="41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</row>
    <row r="559" ht="15.75" customHeight="1">
      <c r="A559" s="32"/>
      <c r="B559" s="32"/>
      <c r="C559" s="41"/>
      <c r="D559" s="32"/>
      <c r="E559" s="32"/>
      <c r="F559" s="32"/>
      <c r="G559" s="41"/>
      <c r="H559" s="41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</row>
    <row r="560" ht="15.75" customHeight="1">
      <c r="A560" s="32"/>
      <c r="B560" s="32"/>
      <c r="C560" s="41"/>
      <c r="D560" s="32"/>
      <c r="E560" s="32"/>
      <c r="F560" s="32"/>
      <c r="G560" s="41"/>
      <c r="H560" s="41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</row>
    <row r="561" ht="15.75" customHeight="1">
      <c r="A561" s="32"/>
      <c r="B561" s="32"/>
      <c r="C561" s="41"/>
      <c r="D561" s="32"/>
      <c r="E561" s="32"/>
      <c r="F561" s="32"/>
      <c r="G561" s="41"/>
      <c r="H561" s="41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</row>
    <row r="562" ht="15.75" customHeight="1">
      <c r="A562" s="32"/>
      <c r="B562" s="32"/>
      <c r="C562" s="41"/>
      <c r="D562" s="32"/>
      <c r="E562" s="32"/>
      <c r="F562" s="32"/>
      <c r="G562" s="41"/>
      <c r="H562" s="41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</row>
    <row r="563" ht="15.75" customHeight="1">
      <c r="A563" s="32"/>
      <c r="B563" s="32"/>
      <c r="C563" s="41"/>
      <c r="D563" s="32"/>
      <c r="E563" s="32"/>
      <c r="F563" s="32"/>
      <c r="G563" s="41"/>
      <c r="H563" s="41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</row>
    <row r="564" ht="15.75" customHeight="1">
      <c r="A564" s="32"/>
      <c r="B564" s="32"/>
      <c r="C564" s="41"/>
      <c r="D564" s="32"/>
      <c r="E564" s="32"/>
      <c r="F564" s="32"/>
      <c r="G564" s="41"/>
      <c r="H564" s="41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</row>
    <row r="565" ht="15.75" customHeight="1">
      <c r="A565" s="32"/>
      <c r="B565" s="32"/>
      <c r="C565" s="41"/>
      <c r="D565" s="32"/>
      <c r="E565" s="32"/>
      <c r="F565" s="32"/>
      <c r="G565" s="41"/>
      <c r="H565" s="41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</row>
    <row r="566" ht="15.75" customHeight="1">
      <c r="A566" s="32"/>
      <c r="B566" s="32"/>
      <c r="C566" s="41"/>
      <c r="D566" s="32"/>
      <c r="E566" s="32"/>
      <c r="F566" s="32"/>
      <c r="G566" s="41"/>
      <c r="H566" s="41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</row>
    <row r="567" ht="15.75" customHeight="1">
      <c r="A567" s="32"/>
      <c r="B567" s="32"/>
      <c r="C567" s="41"/>
      <c r="D567" s="32"/>
      <c r="E567" s="32"/>
      <c r="F567" s="32"/>
      <c r="G567" s="41"/>
      <c r="H567" s="41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</row>
    <row r="568" ht="15.75" customHeight="1">
      <c r="A568" s="32"/>
      <c r="B568" s="32"/>
      <c r="C568" s="41"/>
      <c r="D568" s="32"/>
      <c r="E568" s="32"/>
      <c r="F568" s="32"/>
      <c r="G568" s="41"/>
      <c r="H568" s="41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</row>
    <row r="569" ht="15.75" customHeight="1">
      <c r="A569" s="32"/>
      <c r="B569" s="32"/>
      <c r="C569" s="41"/>
      <c r="D569" s="32"/>
      <c r="E569" s="32"/>
      <c r="F569" s="32"/>
      <c r="G569" s="41"/>
      <c r="H569" s="41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</row>
    <row r="570" ht="15.75" customHeight="1">
      <c r="A570" s="32"/>
      <c r="B570" s="32"/>
      <c r="C570" s="41"/>
      <c r="D570" s="32"/>
      <c r="E570" s="32"/>
      <c r="F570" s="32"/>
      <c r="G570" s="41"/>
      <c r="H570" s="41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</row>
    <row r="571" ht="15.75" customHeight="1">
      <c r="A571" s="32"/>
      <c r="B571" s="32"/>
      <c r="C571" s="41"/>
      <c r="D571" s="32"/>
      <c r="E571" s="32"/>
      <c r="F571" s="32"/>
      <c r="G571" s="41"/>
      <c r="H571" s="41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</row>
    <row r="572" ht="15.75" customHeight="1">
      <c r="A572" s="32"/>
      <c r="B572" s="32"/>
      <c r="C572" s="41"/>
      <c r="D572" s="32"/>
      <c r="E572" s="32"/>
      <c r="F572" s="32"/>
      <c r="G572" s="41"/>
      <c r="H572" s="41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</row>
    <row r="573" ht="15.75" customHeight="1">
      <c r="A573" s="32"/>
      <c r="B573" s="32"/>
      <c r="C573" s="41"/>
      <c r="D573" s="32"/>
      <c r="E573" s="32"/>
      <c r="F573" s="32"/>
      <c r="G573" s="41"/>
      <c r="H573" s="41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</row>
    <row r="574" ht="15.75" customHeight="1">
      <c r="A574" s="32"/>
      <c r="B574" s="32"/>
      <c r="C574" s="41"/>
      <c r="D574" s="32"/>
      <c r="E574" s="32"/>
      <c r="F574" s="32"/>
      <c r="G574" s="41"/>
      <c r="H574" s="41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</row>
    <row r="575" ht="15.75" customHeight="1">
      <c r="A575" s="32"/>
      <c r="B575" s="32"/>
      <c r="C575" s="41"/>
      <c r="D575" s="32"/>
      <c r="E575" s="32"/>
      <c r="F575" s="32"/>
      <c r="G575" s="41"/>
      <c r="H575" s="41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</row>
    <row r="576" ht="15.75" customHeight="1">
      <c r="A576" s="32"/>
      <c r="B576" s="32"/>
      <c r="C576" s="41"/>
      <c r="D576" s="32"/>
      <c r="E576" s="32"/>
      <c r="F576" s="32"/>
      <c r="G576" s="41"/>
      <c r="H576" s="41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</row>
    <row r="577" ht="15.75" customHeight="1">
      <c r="A577" s="32"/>
      <c r="B577" s="32"/>
      <c r="C577" s="41"/>
      <c r="D577" s="32"/>
      <c r="E577" s="32"/>
      <c r="F577" s="32"/>
      <c r="G577" s="41"/>
      <c r="H577" s="41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</row>
    <row r="578" ht="15.75" customHeight="1">
      <c r="A578" s="32"/>
      <c r="B578" s="32"/>
      <c r="C578" s="41"/>
      <c r="D578" s="32"/>
      <c r="E578" s="32"/>
      <c r="F578" s="32"/>
      <c r="G578" s="41"/>
      <c r="H578" s="41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</row>
    <row r="579" ht="15.75" customHeight="1">
      <c r="A579" s="32"/>
      <c r="B579" s="32"/>
      <c r="C579" s="41"/>
      <c r="D579" s="32"/>
      <c r="E579" s="32"/>
      <c r="F579" s="32"/>
      <c r="G579" s="41"/>
      <c r="H579" s="41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</row>
    <row r="580" ht="15.75" customHeight="1">
      <c r="A580" s="32"/>
      <c r="B580" s="32"/>
      <c r="C580" s="41"/>
      <c r="D580" s="32"/>
      <c r="E580" s="32"/>
      <c r="F580" s="32"/>
      <c r="G580" s="41"/>
      <c r="H580" s="41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</row>
    <row r="581" ht="15.75" customHeight="1">
      <c r="A581" s="32"/>
      <c r="B581" s="32"/>
      <c r="C581" s="41"/>
      <c r="D581" s="32"/>
      <c r="E581" s="32"/>
      <c r="F581" s="32"/>
      <c r="G581" s="41"/>
      <c r="H581" s="41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</row>
    <row r="582" ht="15.75" customHeight="1">
      <c r="A582" s="32"/>
      <c r="B582" s="32"/>
      <c r="C582" s="41"/>
      <c r="D582" s="32"/>
      <c r="E582" s="32"/>
      <c r="F582" s="32"/>
      <c r="G582" s="41"/>
      <c r="H582" s="41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</row>
    <row r="583" ht="15.75" customHeight="1">
      <c r="A583" s="32"/>
      <c r="B583" s="32"/>
      <c r="C583" s="41"/>
      <c r="D583" s="32"/>
      <c r="E583" s="32"/>
      <c r="F583" s="32"/>
      <c r="G583" s="41"/>
      <c r="H583" s="41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</row>
    <row r="584" ht="15.75" customHeight="1">
      <c r="A584" s="32"/>
      <c r="B584" s="32"/>
      <c r="C584" s="41"/>
      <c r="D584" s="32"/>
      <c r="E584" s="32"/>
      <c r="F584" s="32"/>
      <c r="G584" s="41"/>
      <c r="H584" s="41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</row>
    <row r="585" ht="15.75" customHeight="1">
      <c r="A585" s="32"/>
      <c r="B585" s="32"/>
      <c r="C585" s="41"/>
      <c r="D585" s="32"/>
      <c r="E585" s="32"/>
      <c r="F585" s="32"/>
      <c r="G585" s="41"/>
      <c r="H585" s="41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</row>
    <row r="586" ht="15.75" customHeight="1">
      <c r="A586" s="32"/>
      <c r="B586" s="32"/>
      <c r="C586" s="41"/>
      <c r="D586" s="32"/>
      <c r="E586" s="32"/>
      <c r="F586" s="32"/>
      <c r="G586" s="41"/>
      <c r="H586" s="41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</row>
    <row r="587" ht="15.75" customHeight="1">
      <c r="A587" s="32"/>
      <c r="B587" s="32"/>
      <c r="C587" s="41"/>
      <c r="D587" s="32"/>
      <c r="E587" s="32"/>
      <c r="F587" s="32"/>
      <c r="G587" s="41"/>
      <c r="H587" s="41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</row>
    <row r="588" ht="15.75" customHeight="1">
      <c r="A588" s="32"/>
      <c r="B588" s="32"/>
      <c r="C588" s="41"/>
      <c r="D588" s="32"/>
      <c r="E588" s="32"/>
      <c r="F588" s="32"/>
      <c r="G588" s="41"/>
      <c r="H588" s="41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</row>
    <row r="589" ht="15.75" customHeight="1">
      <c r="A589" s="32"/>
      <c r="B589" s="32"/>
      <c r="C589" s="41"/>
      <c r="D589" s="32"/>
      <c r="E589" s="32"/>
      <c r="F589" s="32"/>
      <c r="G589" s="41"/>
      <c r="H589" s="41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</row>
    <row r="590" ht="15.75" customHeight="1">
      <c r="A590" s="32"/>
      <c r="B590" s="32"/>
      <c r="C590" s="41"/>
      <c r="D590" s="32"/>
      <c r="E590" s="32"/>
      <c r="F590" s="32"/>
      <c r="G590" s="41"/>
      <c r="H590" s="41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</row>
    <row r="591" ht="15.75" customHeight="1">
      <c r="A591" s="32"/>
      <c r="B591" s="32"/>
      <c r="C591" s="41"/>
      <c r="D591" s="32"/>
      <c r="E591" s="32"/>
      <c r="F591" s="32"/>
      <c r="G591" s="41"/>
      <c r="H591" s="41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</row>
    <row r="592" ht="15.75" customHeight="1">
      <c r="A592" s="32"/>
      <c r="B592" s="32"/>
      <c r="C592" s="41"/>
      <c r="D592" s="32"/>
      <c r="E592" s="32"/>
      <c r="F592" s="32"/>
      <c r="G592" s="41"/>
      <c r="H592" s="41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</row>
    <row r="593" ht="15.75" customHeight="1">
      <c r="A593" s="32"/>
      <c r="B593" s="32"/>
      <c r="C593" s="41"/>
      <c r="D593" s="32"/>
      <c r="E593" s="32"/>
      <c r="F593" s="32"/>
      <c r="G593" s="41"/>
      <c r="H593" s="41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</row>
    <row r="594" ht="15.75" customHeight="1">
      <c r="A594" s="32"/>
      <c r="B594" s="32"/>
      <c r="C594" s="41"/>
      <c r="D594" s="32"/>
      <c r="E594" s="32"/>
      <c r="F594" s="32"/>
      <c r="G594" s="41"/>
      <c r="H594" s="41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</row>
    <row r="595" ht="15.75" customHeight="1">
      <c r="A595" s="32"/>
      <c r="B595" s="32"/>
      <c r="C595" s="41"/>
      <c r="D595" s="32"/>
      <c r="E595" s="32"/>
      <c r="F595" s="32"/>
      <c r="G595" s="41"/>
      <c r="H595" s="41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</row>
    <row r="596" ht="15.75" customHeight="1">
      <c r="A596" s="32"/>
      <c r="B596" s="32"/>
      <c r="C596" s="41"/>
      <c r="D596" s="32"/>
      <c r="E596" s="32"/>
      <c r="F596" s="32"/>
      <c r="G596" s="41"/>
      <c r="H596" s="41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</row>
    <row r="597" ht="15.75" customHeight="1">
      <c r="A597" s="32"/>
      <c r="B597" s="32"/>
      <c r="C597" s="41"/>
      <c r="D597" s="32"/>
      <c r="E597" s="32"/>
      <c r="F597" s="32"/>
      <c r="G597" s="41"/>
      <c r="H597" s="41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</row>
    <row r="598" ht="15.75" customHeight="1">
      <c r="A598" s="32"/>
      <c r="B598" s="32"/>
      <c r="C598" s="41"/>
      <c r="D598" s="32"/>
      <c r="E598" s="32"/>
      <c r="F598" s="32"/>
      <c r="G598" s="41"/>
      <c r="H598" s="41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</row>
    <row r="599" ht="15.75" customHeight="1">
      <c r="A599" s="32"/>
      <c r="B599" s="32"/>
      <c r="C599" s="41"/>
      <c r="D599" s="32"/>
      <c r="E599" s="32"/>
      <c r="F599" s="32"/>
      <c r="G599" s="41"/>
      <c r="H599" s="41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</row>
    <row r="600" ht="15.75" customHeight="1">
      <c r="A600" s="32"/>
      <c r="B600" s="32"/>
      <c r="C600" s="41"/>
      <c r="D600" s="32"/>
      <c r="E600" s="32"/>
      <c r="F600" s="32"/>
      <c r="G600" s="41"/>
      <c r="H600" s="41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</row>
    <row r="601" ht="15.75" customHeight="1">
      <c r="A601" s="32"/>
      <c r="B601" s="32"/>
      <c r="C601" s="41"/>
      <c r="D601" s="32"/>
      <c r="E601" s="32"/>
      <c r="F601" s="32"/>
      <c r="G601" s="41"/>
      <c r="H601" s="41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</row>
    <row r="602" ht="15.75" customHeight="1">
      <c r="A602" s="32"/>
      <c r="B602" s="32"/>
      <c r="C602" s="41"/>
      <c r="D602" s="32"/>
      <c r="E602" s="32"/>
      <c r="F602" s="32"/>
      <c r="G602" s="41"/>
      <c r="H602" s="41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</row>
    <row r="603" ht="15.75" customHeight="1">
      <c r="A603" s="32"/>
      <c r="B603" s="32"/>
      <c r="C603" s="41"/>
      <c r="D603" s="32"/>
      <c r="E603" s="32"/>
      <c r="F603" s="32"/>
      <c r="G603" s="41"/>
      <c r="H603" s="41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</row>
    <row r="604" ht="15.75" customHeight="1">
      <c r="A604" s="32"/>
      <c r="B604" s="32"/>
      <c r="C604" s="41"/>
      <c r="D604" s="32"/>
      <c r="E604" s="32"/>
      <c r="F604" s="32"/>
      <c r="G604" s="41"/>
      <c r="H604" s="41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</row>
    <row r="605" ht="15.75" customHeight="1">
      <c r="A605" s="32"/>
      <c r="B605" s="32"/>
      <c r="C605" s="41"/>
      <c r="D605" s="32"/>
      <c r="E605" s="32"/>
      <c r="F605" s="32"/>
      <c r="G605" s="41"/>
      <c r="H605" s="41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</row>
    <row r="606" ht="15.75" customHeight="1">
      <c r="A606" s="32"/>
      <c r="B606" s="32"/>
      <c r="C606" s="41"/>
      <c r="D606" s="32"/>
      <c r="E606" s="32"/>
      <c r="F606" s="32"/>
      <c r="G606" s="41"/>
      <c r="H606" s="41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</row>
    <row r="607" ht="15.75" customHeight="1">
      <c r="A607" s="32"/>
      <c r="B607" s="32"/>
      <c r="C607" s="41"/>
      <c r="D607" s="32"/>
      <c r="E607" s="32"/>
      <c r="F607" s="32"/>
      <c r="G607" s="41"/>
      <c r="H607" s="41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</row>
    <row r="608" ht="15.75" customHeight="1">
      <c r="A608" s="32"/>
      <c r="B608" s="32"/>
      <c r="C608" s="41"/>
      <c r="D608" s="32"/>
      <c r="E608" s="32"/>
      <c r="F608" s="32"/>
      <c r="G608" s="41"/>
      <c r="H608" s="41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</row>
    <row r="609" ht="15.75" customHeight="1">
      <c r="A609" s="32"/>
      <c r="B609" s="32"/>
      <c r="C609" s="41"/>
      <c r="D609" s="32"/>
      <c r="E609" s="32"/>
      <c r="F609" s="32"/>
      <c r="G609" s="41"/>
      <c r="H609" s="41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</row>
    <row r="610" ht="15.75" customHeight="1">
      <c r="A610" s="32"/>
      <c r="B610" s="32"/>
      <c r="C610" s="41"/>
      <c r="D610" s="32"/>
      <c r="E610" s="32"/>
      <c r="F610" s="32"/>
      <c r="G610" s="41"/>
      <c r="H610" s="41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</row>
    <row r="611" ht="15.75" customHeight="1">
      <c r="A611" s="32"/>
      <c r="B611" s="32"/>
      <c r="C611" s="41"/>
      <c r="D611" s="32"/>
      <c r="E611" s="32"/>
      <c r="F611" s="32"/>
      <c r="G611" s="41"/>
      <c r="H611" s="41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</row>
    <row r="612" ht="15.75" customHeight="1">
      <c r="A612" s="32"/>
      <c r="B612" s="32"/>
      <c r="C612" s="41"/>
      <c r="D612" s="32"/>
      <c r="E612" s="32"/>
      <c r="F612" s="32"/>
      <c r="G612" s="41"/>
      <c r="H612" s="41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</row>
    <row r="613" ht="15.75" customHeight="1">
      <c r="A613" s="32"/>
      <c r="B613" s="32"/>
      <c r="C613" s="41"/>
      <c r="D613" s="32"/>
      <c r="E613" s="32"/>
      <c r="F613" s="32"/>
      <c r="G613" s="41"/>
      <c r="H613" s="41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</row>
    <row r="614" ht="15.75" customHeight="1">
      <c r="A614" s="32"/>
      <c r="B614" s="32"/>
      <c r="C614" s="41"/>
      <c r="D614" s="32"/>
      <c r="E614" s="32"/>
      <c r="F614" s="32"/>
      <c r="G614" s="41"/>
      <c r="H614" s="41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</row>
    <row r="615" ht="15.75" customHeight="1">
      <c r="A615" s="32"/>
      <c r="B615" s="32"/>
      <c r="C615" s="41"/>
      <c r="D615" s="32"/>
      <c r="E615" s="32"/>
      <c r="F615" s="32"/>
      <c r="G615" s="41"/>
      <c r="H615" s="41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</row>
    <row r="616" ht="15.75" customHeight="1">
      <c r="A616" s="32"/>
      <c r="B616" s="32"/>
      <c r="C616" s="41"/>
      <c r="D616" s="32"/>
      <c r="E616" s="32"/>
      <c r="F616" s="32"/>
      <c r="G616" s="41"/>
      <c r="H616" s="41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</row>
    <row r="617" ht="15.75" customHeight="1">
      <c r="A617" s="32"/>
      <c r="B617" s="32"/>
      <c r="C617" s="41"/>
      <c r="D617" s="32"/>
      <c r="E617" s="32"/>
      <c r="F617" s="32"/>
      <c r="G617" s="41"/>
      <c r="H617" s="41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</row>
    <row r="618" ht="15.75" customHeight="1">
      <c r="A618" s="32"/>
      <c r="B618" s="32"/>
      <c r="C618" s="41"/>
      <c r="D618" s="32"/>
      <c r="E618" s="32"/>
      <c r="F618" s="32"/>
      <c r="G618" s="41"/>
      <c r="H618" s="41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</row>
    <row r="619" ht="15.75" customHeight="1">
      <c r="A619" s="32"/>
      <c r="B619" s="32"/>
      <c r="C619" s="41"/>
      <c r="D619" s="32"/>
      <c r="E619" s="32"/>
      <c r="F619" s="32"/>
      <c r="G619" s="41"/>
      <c r="H619" s="41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</row>
    <row r="620" ht="15.75" customHeight="1">
      <c r="A620" s="32"/>
      <c r="B620" s="32"/>
      <c r="C620" s="41"/>
      <c r="D620" s="32"/>
      <c r="E620" s="32"/>
      <c r="F620" s="32"/>
      <c r="G620" s="41"/>
      <c r="H620" s="41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</row>
    <row r="621" ht="15.75" customHeight="1">
      <c r="A621" s="32"/>
      <c r="B621" s="32"/>
      <c r="C621" s="41"/>
      <c r="D621" s="32"/>
      <c r="E621" s="32"/>
      <c r="F621" s="32"/>
      <c r="G621" s="41"/>
      <c r="H621" s="41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</row>
    <row r="622" ht="15.75" customHeight="1">
      <c r="A622" s="32"/>
      <c r="B622" s="32"/>
      <c r="C622" s="41"/>
      <c r="D622" s="32"/>
      <c r="E622" s="32"/>
      <c r="F622" s="32"/>
      <c r="G622" s="41"/>
      <c r="H622" s="41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</row>
    <row r="623" ht="15.75" customHeight="1">
      <c r="A623" s="32"/>
      <c r="B623" s="32"/>
      <c r="C623" s="41"/>
      <c r="D623" s="32"/>
      <c r="E623" s="32"/>
      <c r="F623" s="32"/>
      <c r="G623" s="41"/>
      <c r="H623" s="41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</row>
    <row r="624" ht="15.75" customHeight="1">
      <c r="A624" s="32"/>
      <c r="B624" s="32"/>
      <c r="C624" s="41"/>
      <c r="D624" s="32"/>
      <c r="E624" s="32"/>
      <c r="F624" s="32"/>
      <c r="G624" s="41"/>
      <c r="H624" s="41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</row>
    <row r="625" ht="15.75" customHeight="1">
      <c r="A625" s="32"/>
      <c r="B625" s="32"/>
      <c r="C625" s="41"/>
      <c r="D625" s="32"/>
      <c r="E625" s="32"/>
      <c r="F625" s="32"/>
      <c r="G625" s="41"/>
      <c r="H625" s="41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</row>
    <row r="626" ht="15.75" customHeight="1">
      <c r="A626" s="32"/>
      <c r="B626" s="32"/>
      <c r="C626" s="41"/>
      <c r="D626" s="32"/>
      <c r="E626" s="32"/>
      <c r="F626" s="32"/>
      <c r="G626" s="41"/>
      <c r="H626" s="41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</row>
    <row r="627" ht="15.75" customHeight="1">
      <c r="A627" s="32"/>
      <c r="B627" s="32"/>
      <c r="C627" s="41"/>
      <c r="D627" s="32"/>
      <c r="E627" s="32"/>
      <c r="F627" s="32"/>
      <c r="G627" s="41"/>
      <c r="H627" s="41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</row>
    <row r="628" ht="15.75" customHeight="1">
      <c r="A628" s="32"/>
      <c r="B628" s="32"/>
      <c r="C628" s="41"/>
      <c r="D628" s="32"/>
      <c r="E628" s="32"/>
      <c r="F628" s="32"/>
      <c r="G628" s="41"/>
      <c r="H628" s="41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</row>
    <row r="629" ht="15.75" customHeight="1">
      <c r="A629" s="32"/>
      <c r="B629" s="32"/>
      <c r="C629" s="41"/>
      <c r="D629" s="32"/>
      <c r="E629" s="32"/>
      <c r="F629" s="32"/>
      <c r="G629" s="41"/>
      <c r="H629" s="41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</row>
    <row r="630" ht="15.75" customHeight="1">
      <c r="A630" s="32"/>
      <c r="B630" s="32"/>
      <c r="C630" s="41"/>
      <c r="D630" s="32"/>
      <c r="E630" s="32"/>
      <c r="F630" s="32"/>
      <c r="G630" s="41"/>
      <c r="H630" s="41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</row>
    <row r="631" ht="15.75" customHeight="1">
      <c r="A631" s="32"/>
      <c r="B631" s="32"/>
      <c r="C631" s="41"/>
      <c r="D631" s="32"/>
      <c r="E631" s="32"/>
      <c r="F631" s="32"/>
      <c r="G631" s="41"/>
      <c r="H631" s="41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</row>
    <row r="632" ht="15.75" customHeight="1">
      <c r="A632" s="32"/>
      <c r="B632" s="32"/>
      <c r="C632" s="41"/>
      <c r="D632" s="32"/>
      <c r="E632" s="32"/>
      <c r="F632" s="32"/>
      <c r="G632" s="41"/>
      <c r="H632" s="41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</row>
    <row r="633" ht="15.75" customHeight="1">
      <c r="A633" s="32"/>
      <c r="B633" s="32"/>
      <c r="C633" s="41"/>
      <c r="D633" s="32"/>
      <c r="E633" s="32"/>
      <c r="F633" s="32"/>
      <c r="G633" s="41"/>
      <c r="H633" s="41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</row>
    <row r="634" ht="15.75" customHeight="1">
      <c r="A634" s="32"/>
      <c r="B634" s="32"/>
      <c r="C634" s="41"/>
      <c r="D634" s="32"/>
      <c r="E634" s="32"/>
      <c r="F634" s="32"/>
      <c r="G634" s="41"/>
      <c r="H634" s="41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</row>
    <row r="635" ht="15.75" customHeight="1">
      <c r="A635" s="32"/>
      <c r="B635" s="32"/>
      <c r="C635" s="41"/>
      <c r="D635" s="32"/>
      <c r="E635" s="32"/>
      <c r="F635" s="32"/>
      <c r="G635" s="41"/>
      <c r="H635" s="41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</row>
    <row r="636" ht="15.75" customHeight="1">
      <c r="A636" s="32"/>
      <c r="B636" s="32"/>
      <c r="C636" s="41"/>
      <c r="D636" s="32"/>
      <c r="E636" s="32"/>
      <c r="F636" s="32"/>
      <c r="G636" s="41"/>
      <c r="H636" s="41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</row>
    <row r="637" ht="15.75" customHeight="1">
      <c r="A637" s="32"/>
      <c r="B637" s="32"/>
      <c r="C637" s="41"/>
      <c r="D637" s="32"/>
      <c r="E637" s="32"/>
      <c r="F637" s="32"/>
      <c r="G637" s="41"/>
      <c r="H637" s="41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</row>
    <row r="638" ht="15.75" customHeight="1">
      <c r="A638" s="32"/>
      <c r="B638" s="32"/>
      <c r="C638" s="41"/>
      <c r="D638" s="32"/>
      <c r="E638" s="32"/>
      <c r="F638" s="32"/>
      <c r="G638" s="41"/>
      <c r="H638" s="41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</row>
    <row r="639" ht="15.75" customHeight="1">
      <c r="A639" s="32"/>
      <c r="B639" s="32"/>
      <c r="C639" s="41"/>
      <c r="D639" s="32"/>
      <c r="E639" s="32"/>
      <c r="F639" s="32"/>
      <c r="G639" s="41"/>
      <c r="H639" s="41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</row>
    <row r="640" ht="15.75" customHeight="1">
      <c r="A640" s="32"/>
      <c r="B640" s="32"/>
      <c r="C640" s="41"/>
      <c r="D640" s="32"/>
      <c r="E640" s="32"/>
      <c r="F640" s="32"/>
      <c r="G640" s="41"/>
      <c r="H640" s="41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</row>
    <row r="641" ht="15.75" customHeight="1">
      <c r="A641" s="32"/>
      <c r="B641" s="32"/>
      <c r="C641" s="41"/>
      <c r="D641" s="32"/>
      <c r="E641" s="32"/>
      <c r="F641" s="32"/>
      <c r="G641" s="41"/>
      <c r="H641" s="41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</row>
    <row r="642" ht="15.75" customHeight="1">
      <c r="A642" s="32"/>
      <c r="B642" s="32"/>
      <c r="C642" s="41"/>
      <c r="D642" s="32"/>
      <c r="E642" s="32"/>
      <c r="F642" s="32"/>
      <c r="G642" s="41"/>
      <c r="H642" s="41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</row>
    <row r="643" ht="15.75" customHeight="1">
      <c r="A643" s="32"/>
      <c r="B643" s="32"/>
      <c r="C643" s="41"/>
      <c r="D643" s="32"/>
      <c r="E643" s="32"/>
      <c r="F643" s="32"/>
      <c r="G643" s="41"/>
      <c r="H643" s="41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</row>
    <row r="644" ht="15.75" customHeight="1">
      <c r="A644" s="32"/>
      <c r="B644" s="32"/>
      <c r="C644" s="41"/>
      <c r="D644" s="32"/>
      <c r="E644" s="32"/>
      <c r="F644" s="32"/>
      <c r="G644" s="41"/>
      <c r="H644" s="41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</row>
    <row r="645" ht="15.75" customHeight="1">
      <c r="A645" s="32"/>
      <c r="B645" s="32"/>
      <c r="C645" s="41"/>
      <c r="D645" s="32"/>
      <c r="E645" s="32"/>
      <c r="F645" s="32"/>
      <c r="G645" s="41"/>
      <c r="H645" s="41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</row>
    <row r="646" ht="15.75" customHeight="1">
      <c r="A646" s="32"/>
      <c r="B646" s="32"/>
      <c r="C646" s="41"/>
      <c r="D646" s="32"/>
      <c r="E646" s="32"/>
      <c r="F646" s="32"/>
      <c r="G646" s="41"/>
      <c r="H646" s="41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</row>
    <row r="647" ht="15.75" customHeight="1">
      <c r="A647" s="32"/>
      <c r="B647" s="32"/>
      <c r="C647" s="41"/>
      <c r="D647" s="32"/>
      <c r="E647" s="32"/>
      <c r="F647" s="32"/>
      <c r="G647" s="41"/>
      <c r="H647" s="41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</row>
    <row r="648" ht="15.75" customHeight="1">
      <c r="A648" s="32"/>
      <c r="B648" s="32"/>
      <c r="C648" s="41"/>
      <c r="D648" s="32"/>
      <c r="E648" s="32"/>
      <c r="F648" s="32"/>
      <c r="G648" s="41"/>
      <c r="H648" s="41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</row>
    <row r="649" ht="15.75" customHeight="1">
      <c r="A649" s="32"/>
      <c r="B649" s="32"/>
      <c r="C649" s="41"/>
      <c r="D649" s="32"/>
      <c r="E649" s="32"/>
      <c r="F649" s="32"/>
      <c r="G649" s="41"/>
      <c r="H649" s="41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</row>
    <row r="650" ht="15.75" customHeight="1">
      <c r="A650" s="32"/>
      <c r="B650" s="32"/>
      <c r="C650" s="41"/>
      <c r="D650" s="32"/>
      <c r="E650" s="32"/>
      <c r="F650" s="32"/>
      <c r="G650" s="41"/>
      <c r="H650" s="41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</row>
    <row r="651" ht="15.75" customHeight="1">
      <c r="A651" s="32"/>
      <c r="B651" s="32"/>
      <c r="C651" s="41"/>
      <c r="D651" s="32"/>
      <c r="E651" s="32"/>
      <c r="F651" s="32"/>
      <c r="G651" s="41"/>
      <c r="H651" s="41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</row>
    <row r="652" ht="15.75" customHeight="1">
      <c r="A652" s="32"/>
      <c r="B652" s="32"/>
      <c r="C652" s="41"/>
      <c r="D652" s="32"/>
      <c r="E652" s="32"/>
      <c r="F652" s="32"/>
      <c r="G652" s="41"/>
      <c r="H652" s="41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</row>
    <row r="653" ht="15.75" customHeight="1">
      <c r="A653" s="32"/>
      <c r="B653" s="32"/>
      <c r="C653" s="41"/>
      <c r="D653" s="32"/>
      <c r="E653" s="32"/>
      <c r="F653" s="32"/>
      <c r="G653" s="41"/>
      <c r="H653" s="41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</row>
    <row r="654" ht="15.75" customHeight="1">
      <c r="A654" s="32"/>
      <c r="B654" s="32"/>
      <c r="C654" s="41"/>
      <c r="D654" s="32"/>
      <c r="E654" s="32"/>
      <c r="F654" s="32"/>
      <c r="G654" s="41"/>
      <c r="H654" s="41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</row>
    <row r="655" ht="15.75" customHeight="1">
      <c r="A655" s="32"/>
      <c r="B655" s="32"/>
      <c r="C655" s="41"/>
      <c r="D655" s="32"/>
      <c r="E655" s="32"/>
      <c r="F655" s="32"/>
      <c r="G655" s="41"/>
      <c r="H655" s="41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</row>
    <row r="656" ht="15.75" customHeight="1">
      <c r="A656" s="32"/>
      <c r="B656" s="32"/>
      <c r="C656" s="41"/>
      <c r="D656" s="32"/>
      <c r="E656" s="32"/>
      <c r="F656" s="32"/>
      <c r="G656" s="41"/>
      <c r="H656" s="41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</row>
    <row r="657" ht="15.75" customHeight="1">
      <c r="A657" s="32"/>
      <c r="B657" s="32"/>
      <c r="C657" s="41"/>
      <c r="D657" s="32"/>
      <c r="E657" s="32"/>
      <c r="F657" s="32"/>
      <c r="G657" s="41"/>
      <c r="H657" s="41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</row>
    <row r="658" ht="15.75" customHeight="1">
      <c r="A658" s="32"/>
      <c r="B658" s="32"/>
      <c r="C658" s="41"/>
      <c r="D658" s="32"/>
      <c r="E658" s="32"/>
      <c r="F658" s="32"/>
      <c r="G658" s="41"/>
      <c r="H658" s="41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</row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B3:D3"/>
    <mergeCell ref="F3:I3"/>
    <mergeCell ref="C5:D5"/>
    <mergeCell ref="G5:I5"/>
    <mergeCell ref="C6:D6"/>
    <mergeCell ref="G6:I6"/>
    <mergeCell ref="C7:D7"/>
    <mergeCell ref="G7:I7"/>
    <mergeCell ref="F20:I20"/>
    <mergeCell ref="F25:I25"/>
    <mergeCell ref="B26:D26"/>
    <mergeCell ref="G27:I27"/>
    <mergeCell ref="C28:D28"/>
    <mergeCell ref="C29:D29"/>
    <mergeCell ref="C30:D30"/>
    <mergeCell ref="C52:D52"/>
    <mergeCell ref="C53:D53"/>
    <mergeCell ref="B72:D72"/>
    <mergeCell ref="C74:D74"/>
    <mergeCell ref="C75:D75"/>
    <mergeCell ref="C76:D76"/>
    <mergeCell ref="G28:I28"/>
    <mergeCell ref="G29:I29"/>
    <mergeCell ref="G42:I42"/>
    <mergeCell ref="F47:I47"/>
    <mergeCell ref="B49:D49"/>
    <mergeCell ref="G49:I49"/>
    <mergeCell ref="C51:D51"/>
    <mergeCell ref="G50:I50"/>
    <mergeCell ref="G51:I51"/>
    <mergeCell ref="G64:I64"/>
    <mergeCell ref="F69:I69"/>
    <mergeCell ref="G71:I71"/>
    <mergeCell ref="G72:I72"/>
    <mergeCell ref="G73:I73"/>
    <mergeCell ref="G86:I86"/>
    <mergeCell ref="F91:I91"/>
    <mergeCell ref="G93:I93"/>
    <mergeCell ref="G94:I94"/>
    <mergeCell ref="B95:D95"/>
    <mergeCell ref="G95:I95"/>
    <mergeCell ref="C97:D97"/>
    <mergeCell ref="C98:D98"/>
    <mergeCell ref="C99:D99"/>
    <mergeCell ref="G108:I108"/>
    <mergeCell ref="F113:I113"/>
    <mergeCell ref="G115:I115"/>
    <mergeCell ref="G116:I116"/>
    <mergeCell ref="G117:I117"/>
    <mergeCell ref="B118:D118"/>
    <mergeCell ref="C120:D120"/>
    <mergeCell ref="C121:D121"/>
    <mergeCell ref="C122:D122"/>
    <mergeCell ref="G130:I130"/>
    <mergeCell ref="F135:I135"/>
    <mergeCell ref="G137:I137"/>
    <mergeCell ref="G138:I138"/>
    <mergeCell ref="G139:I139"/>
    <mergeCell ref="B141:D141"/>
    <mergeCell ref="C143:D143"/>
    <mergeCell ref="C144:D144"/>
    <mergeCell ref="C145:D145"/>
    <mergeCell ref="G152:I152"/>
    <mergeCell ref="F157:I157"/>
    <mergeCell ref="G159:I159"/>
    <mergeCell ref="G160:I160"/>
    <mergeCell ref="B164:D164"/>
    <mergeCell ref="C166:D166"/>
    <mergeCell ref="C167:D167"/>
    <mergeCell ref="C168:D168"/>
    <mergeCell ref="G161:I161"/>
    <mergeCell ref="G174:I174"/>
    <mergeCell ref="F179:I179"/>
    <mergeCell ref="G181:I181"/>
    <mergeCell ref="G182:I182"/>
    <mergeCell ref="G183:I183"/>
    <mergeCell ref="B187:D187"/>
    <mergeCell ref="C189:D189"/>
    <mergeCell ref="C190:D190"/>
    <mergeCell ref="C191:D191"/>
    <mergeCell ref="G196:I196"/>
    <mergeCell ref="F201:I201"/>
    <mergeCell ref="G203:I203"/>
    <mergeCell ref="G204:I204"/>
    <mergeCell ref="G205:I205"/>
    <mergeCell ref="B210:D210"/>
    <mergeCell ref="C212:D212"/>
    <mergeCell ref="C213:D213"/>
    <mergeCell ref="C214:D214"/>
    <mergeCell ref="G218:I218"/>
    <mergeCell ref="F223:I223"/>
    <mergeCell ref="G225:I225"/>
    <mergeCell ref="G226:I226"/>
    <mergeCell ref="G227:I227"/>
    <mergeCell ref="B233:D233"/>
    <mergeCell ref="C235:D235"/>
    <mergeCell ref="C236:D236"/>
    <mergeCell ref="C237:D237"/>
    <mergeCell ref="C328:D328"/>
    <mergeCell ref="C329:D329"/>
    <mergeCell ref="F333:I333"/>
    <mergeCell ref="G335:I335"/>
    <mergeCell ref="G336:I336"/>
    <mergeCell ref="G337:I337"/>
    <mergeCell ref="B348:D348"/>
    <mergeCell ref="C350:D350"/>
    <mergeCell ref="G350:I350"/>
    <mergeCell ref="C351:D351"/>
    <mergeCell ref="F355:I355"/>
    <mergeCell ref="G357:I357"/>
    <mergeCell ref="G358:I358"/>
    <mergeCell ref="G359:I359"/>
    <mergeCell ref="G421:I421"/>
    <mergeCell ref="G422:I422"/>
    <mergeCell ref="G423:I423"/>
    <mergeCell ref="G436:I436"/>
    <mergeCell ref="G458:I458"/>
    <mergeCell ref="G372:I372"/>
    <mergeCell ref="F377:I377"/>
    <mergeCell ref="G379:I379"/>
    <mergeCell ref="G380:I380"/>
    <mergeCell ref="G381:I381"/>
    <mergeCell ref="G394:I394"/>
    <mergeCell ref="F419:I419"/>
    <mergeCell ref="B440:D440"/>
    <mergeCell ref="C442:D442"/>
    <mergeCell ref="C443:D443"/>
    <mergeCell ref="C444:D444"/>
    <mergeCell ref="C397:D397"/>
    <mergeCell ref="C398:D398"/>
    <mergeCell ref="B417:D417"/>
    <mergeCell ref="C419:D419"/>
    <mergeCell ref="C420:D420"/>
    <mergeCell ref="C421:D421"/>
    <mergeCell ref="F441:I441"/>
    <mergeCell ref="G240:I240"/>
    <mergeCell ref="F245:I245"/>
    <mergeCell ref="G247:I247"/>
    <mergeCell ref="G248:I248"/>
    <mergeCell ref="G249:I249"/>
    <mergeCell ref="B256:D256"/>
    <mergeCell ref="C258:D258"/>
    <mergeCell ref="C259:D259"/>
    <mergeCell ref="C260:D260"/>
    <mergeCell ref="G262:I262"/>
    <mergeCell ref="F267:I267"/>
    <mergeCell ref="G269:I269"/>
    <mergeCell ref="G270:I270"/>
    <mergeCell ref="G271:I271"/>
    <mergeCell ref="B279:D279"/>
    <mergeCell ref="C281:D281"/>
    <mergeCell ref="C282:D282"/>
    <mergeCell ref="C283:D283"/>
    <mergeCell ref="G284:I284"/>
    <mergeCell ref="F289:I289"/>
    <mergeCell ref="G291:I291"/>
    <mergeCell ref="G292:I292"/>
    <mergeCell ref="G293:I293"/>
    <mergeCell ref="B302:D302"/>
    <mergeCell ref="C304:D304"/>
    <mergeCell ref="C305:D305"/>
    <mergeCell ref="C306:D306"/>
    <mergeCell ref="G306:I306"/>
    <mergeCell ref="F311:I311"/>
    <mergeCell ref="G313:I313"/>
    <mergeCell ref="G314:I314"/>
    <mergeCell ref="G315:I315"/>
    <mergeCell ref="B325:D325"/>
    <mergeCell ref="C327:D327"/>
    <mergeCell ref="G328:I328"/>
    <mergeCell ref="C352:D352"/>
    <mergeCell ref="B371:D371"/>
    <mergeCell ref="C373:D373"/>
    <mergeCell ref="C374:D374"/>
    <mergeCell ref="C375:D375"/>
    <mergeCell ref="B394:D394"/>
    <mergeCell ref="C396:D396"/>
    <mergeCell ref="G443:I443"/>
    <mergeCell ref="G444:I444"/>
    <mergeCell ref="G445:I445"/>
  </mergeCells>
  <printOptions/>
  <pageMargins left="0.75" right="0.75" top="1" bottom="1" header="0" footer="0"/>
  <pageSetup paperSize="1" pageOrder="downThenOver" orientation="landscape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FDCC464-8FB2-4AE1-8D1A-AB1C78A45029}" mc:Ignorable="x14ac xr xr2 xr3">
  <sheetPr>
    <outlinePr summaryBelow="0" summaryRight="0"/>
  </sheetPr>
  <dimension ref="A1:X1000"/>
  <sheetViews>
    <sheetView topLeftCell="A1" workbookViewId="0">
      <selection activeCell="A1" sqref="A1"/>
    </sheetView>
  </sheetViews>
  <sheetFormatPr defaultRowHeight="15" defaultColWidth="14.421875" customHeight="1"/>
  <cols>
    <col min="1" max="1" width="35.421875" customWidth="1"/>
    <col min="2" max="2" width="61.140625" customWidth="1"/>
    <col min="3" max="3" width="44.8515625" customWidth="1"/>
    <col min="4" max="4" width="10.7109375" customWidth="1"/>
    <col min="5" max="5" width="10.8515625" customWidth="1"/>
    <col min="6" max="6" width="25.57421875" customWidth="1"/>
    <col min="7" max="7" width="9.8515625" customWidth="1"/>
    <col min="8" max="8" width="28.57421875" customWidth="1"/>
    <col min="9" max="9" width="8.7109375" customWidth="1"/>
    <col min="10" max="10" width="29.00390625" customWidth="1"/>
    <col min="11" max="11" width="8.7109375" customWidth="1"/>
    <col min="12" max="12" width="34.57421875" customWidth="1"/>
    <col min="13" max="13" width="9.00390625" customWidth="1"/>
    <col min="14" max="14" width="33.28125" customWidth="1"/>
    <col min="15" max="15" width="10.8515625" customWidth="1"/>
    <col min="16" max="16" width="43.00390625" customWidth="1"/>
    <col min="17" max="17" width="11.421875" customWidth="1"/>
    <col min="18" max="18" width="47.421875" customWidth="1"/>
    <col min="19" max="19" width="15.421875" customWidth="1"/>
    <col min="20" max="20" width="42.140625" customWidth="1"/>
    <col min="22" max="22" width="10.00390625" customWidth="1"/>
  </cols>
  <sheetData>
    <row r="1" ht="15" customHeight="1">
      <c r="A1" s="319"/>
      <c r="V1" s="319"/>
    </row>
    <row r="2" ht="15" customHeight="1">
      <c r="A2" s="319"/>
      <c r="V2" s="319"/>
    </row>
    <row r="3" ht="15" customHeight="1">
      <c r="A3" s="320" t="s">
        <v>426</v>
      </c>
      <c r="B3" s="320" t="s">
        <v>427</v>
      </c>
      <c r="C3" s="320" t="s">
        <v>428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321"/>
      <c r="W3" s="28"/>
      <c r="X3" s="28"/>
    </row>
    <row r="4" ht="15" customHeight="1">
      <c r="A4" s="87" t="s">
        <v>429</v>
      </c>
      <c r="B4" s="322" t="s">
        <v>430</v>
      </c>
      <c r="C4" s="323" t="s">
        <v>431</v>
      </c>
      <c r="V4" s="319"/>
    </row>
    <row r="5" ht="15" customHeight="1">
      <c r="A5" s="68" t="s">
        <v>432</v>
      </c>
      <c r="B5" s="324" t="s">
        <v>433</v>
      </c>
      <c r="C5" s="325" t="s">
        <v>434</v>
      </c>
      <c r="V5" s="319"/>
    </row>
    <row r="6" ht="15" customHeight="1">
      <c r="A6" s="82" t="s">
        <v>435</v>
      </c>
      <c r="B6" s="326" t="s">
        <v>436</v>
      </c>
      <c r="C6" s="327" t="s">
        <v>437</v>
      </c>
      <c r="V6" s="319"/>
    </row>
    <row r="7" ht="15" customHeight="1">
      <c r="A7" s="328" t="s">
        <v>438</v>
      </c>
      <c r="B7" s="329" t="s">
        <v>439</v>
      </c>
      <c r="C7" s="330" t="s">
        <v>440</v>
      </c>
      <c r="V7" s="319"/>
    </row>
    <row r="8" ht="15" customHeight="1">
      <c r="A8" s="331" t="s">
        <v>441</v>
      </c>
      <c r="B8" s="322" t="s">
        <v>442</v>
      </c>
      <c r="C8" s="323" t="s">
        <v>443</v>
      </c>
      <c r="V8" s="319"/>
    </row>
    <row r="9" ht="15" customHeight="1">
      <c r="A9" s="14" t="s">
        <v>444</v>
      </c>
      <c r="B9" s="324" t="s">
        <v>445</v>
      </c>
      <c r="C9" s="325" t="s">
        <v>446</v>
      </c>
      <c r="V9" s="319"/>
    </row>
    <row r="10" ht="15" customHeight="1">
      <c r="A10" s="82" t="s">
        <v>447</v>
      </c>
      <c r="B10" s="326" t="s">
        <v>448</v>
      </c>
      <c r="C10" s="327" t="s">
        <v>449</v>
      </c>
      <c r="V10" s="319"/>
    </row>
    <row r="11" ht="15" customHeight="1">
      <c r="A11" s="328" t="s">
        <v>450</v>
      </c>
      <c r="B11" s="332" t="s">
        <v>451</v>
      </c>
      <c r="C11" s="330" t="s">
        <v>452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333"/>
      <c r="W11" s="1"/>
      <c r="X11" s="1"/>
    </row>
    <row r="12" ht="15" customHeight="1">
      <c r="A12" s="319"/>
      <c r="V12" s="319"/>
    </row>
    <row r="13" ht="15" customHeight="1">
      <c r="A13" s="319"/>
      <c r="V13" s="319"/>
    </row>
    <row r="14" ht="15" customHeight="1">
      <c r="A14" s="319"/>
      <c r="V14" s="319"/>
    </row>
    <row r="15" ht="15" customHeight="1">
      <c r="A15" s="334"/>
      <c r="B15" s="335"/>
      <c r="C15" s="336"/>
      <c r="D15" s="337" t="s">
        <v>453</v>
      </c>
      <c r="E15" s="335"/>
      <c r="F15" s="338" t="s">
        <v>454</v>
      </c>
      <c r="U15" s="335"/>
      <c r="V15" s="339" t="s">
        <v>455</v>
      </c>
      <c r="W15" s="335"/>
      <c r="X15" s="335"/>
    </row>
    <row r="16" ht="15" customHeight="1">
      <c r="A16" s="340"/>
      <c r="B16" s="341"/>
      <c r="C16" s="336"/>
      <c r="E16" s="341"/>
      <c r="F16" s="342" t="s">
        <v>456</v>
      </c>
      <c r="H16" s="341"/>
      <c r="I16" s="342" t="s">
        <v>457</v>
      </c>
      <c r="L16" s="341"/>
      <c r="M16" s="343" t="s">
        <v>458</v>
      </c>
      <c r="P16" s="341"/>
      <c r="Q16" s="343" t="s">
        <v>459</v>
      </c>
      <c r="T16" s="342" t="s">
        <v>460</v>
      </c>
      <c r="U16" s="341"/>
      <c r="W16" s="341"/>
      <c r="X16" s="341"/>
    </row>
    <row r="17" ht="15" customHeight="1">
      <c r="A17" s="340"/>
      <c r="B17" s="341"/>
      <c r="C17" s="336"/>
      <c r="E17" s="341"/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W17" s="341"/>
      <c r="X17" s="341"/>
    </row>
    <row r="18" ht="15" customHeight="1">
      <c r="A18" s="340"/>
      <c r="B18" s="341"/>
      <c r="C18" s="336"/>
      <c r="E18" s="341"/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U18" s="341"/>
      <c r="W18" s="341"/>
      <c r="X18" s="341"/>
    </row>
    <row r="19" ht="15" customHeight="1">
      <c r="A19" s="344"/>
      <c r="B19" s="345"/>
      <c r="C19" s="336"/>
      <c r="E19" s="345"/>
      <c r="F19" s="346" t="s">
        <v>461</v>
      </c>
      <c r="G19" s="345"/>
      <c r="H19" s="346" t="s">
        <v>462</v>
      </c>
      <c r="I19" s="345"/>
      <c r="J19" s="346" t="s">
        <v>463</v>
      </c>
      <c r="K19" s="345"/>
      <c r="L19" s="346" t="s">
        <v>464</v>
      </c>
      <c r="M19" s="345"/>
      <c r="N19" s="346" t="s">
        <v>465</v>
      </c>
      <c r="O19" s="345"/>
      <c r="P19" s="346" t="s">
        <v>466</v>
      </c>
      <c r="Q19" s="345"/>
      <c r="R19" s="346" t="s">
        <v>467</v>
      </c>
      <c r="S19" s="345"/>
      <c r="T19" s="346" t="s">
        <v>468</v>
      </c>
      <c r="U19" s="345"/>
      <c r="W19" s="345"/>
      <c r="X19" s="345"/>
    </row>
    <row r="20" ht="15" customHeight="1">
      <c r="A20" s="340"/>
      <c r="B20" s="341"/>
      <c r="C20" s="336"/>
      <c r="E20" s="341"/>
      <c r="F20" s="341"/>
      <c r="G20" s="341"/>
      <c r="H20" s="341"/>
      <c r="I20" s="341"/>
      <c r="J20" s="341"/>
      <c r="K20" s="341"/>
      <c r="L20" s="341"/>
      <c r="M20" s="341"/>
      <c r="N20" s="341"/>
      <c r="O20" s="341"/>
      <c r="P20" s="341"/>
      <c r="Q20" s="341"/>
      <c r="R20" s="341"/>
      <c r="S20" s="341"/>
      <c r="T20" s="341"/>
      <c r="U20" s="341"/>
      <c r="W20" s="341"/>
      <c r="X20" s="341"/>
    </row>
    <row r="21" ht="15.75" customHeight="1">
      <c r="A21" s="340"/>
      <c r="B21" s="341"/>
      <c r="C21" s="336"/>
      <c r="E21" s="341"/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W21" s="341"/>
      <c r="X21" s="341"/>
    </row>
    <row r="22" ht="15.75" customHeight="1">
      <c r="A22" s="340"/>
      <c r="B22" s="341"/>
      <c r="C22" s="336"/>
      <c r="E22" s="341"/>
      <c r="F22" s="341"/>
      <c r="G22" s="341"/>
      <c r="H22" s="341"/>
      <c r="I22" s="341"/>
      <c r="J22" s="341"/>
      <c r="K22" s="341"/>
      <c r="L22" s="341"/>
      <c r="M22" s="341"/>
      <c r="N22" s="341"/>
      <c r="O22" s="341"/>
      <c r="P22" s="341"/>
      <c r="Q22" s="341"/>
      <c r="R22" s="341"/>
      <c r="S22" s="341"/>
      <c r="T22" s="341"/>
      <c r="U22" s="341"/>
      <c r="W22" s="341"/>
      <c r="X22" s="341"/>
    </row>
    <row r="23" ht="15.75" customHeight="1">
      <c r="A23" s="340"/>
      <c r="B23" s="341"/>
      <c r="C23" s="336"/>
      <c r="E23" s="341"/>
      <c r="F23" s="347" t="s">
        <v>469</v>
      </c>
      <c r="U23" s="341"/>
      <c r="W23" s="341"/>
      <c r="X23" s="341"/>
    </row>
    <row r="24" ht="15.75" customHeight="1">
      <c r="A24" s="348"/>
      <c r="B24" s="349"/>
      <c r="C24" s="336"/>
      <c r="E24" s="349"/>
      <c r="F24" s="350" t="s">
        <v>470</v>
      </c>
      <c r="K24" s="349"/>
      <c r="M24" s="351" t="s">
        <v>471</v>
      </c>
      <c r="Q24" s="349"/>
      <c r="S24" s="351" t="s">
        <v>472</v>
      </c>
      <c r="U24" s="349"/>
      <c r="W24" s="349"/>
      <c r="X24" s="349"/>
    </row>
    <row r="25" ht="15.75" customHeight="1">
      <c r="A25" s="319"/>
      <c r="V25" s="319"/>
    </row>
    <row r="26" ht="15.75" customHeight="1">
      <c r="A26" s="319"/>
      <c r="V26" s="319"/>
    </row>
    <row r="27" ht="15.75" customHeight="1">
      <c r="A27" s="319"/>
      <c r="V27" s="319"/>
    </row>
    <row r="28" ht="15.75" customHeight="1">
      <c r="A28" s="319"/>
      <c r="V28" s="319"/>
    </row>
    <row r="29" ht="15.75" customHeight="1">
      <c r="A29" s="319"/>
      <c r="V29" s="319"/>
    </row>
    <row r="30" ht="15.75" customHeight="1">
      <c r="A30" s="319"/>
      <c r="V30" s="319"/>
    </row>
    <row r="31" ht="15.75" customHeight="1">
      <c r="A31" s="319"/>
      <c r="V31" s="319"/>
    </row>
    <row r="32" ht="15.75" customHeight="1">
      <c r="A32" s="319"/>
      <c r="V32" s="319"/>
    </row>
    <row r="33" ht="15.75" customHeight="1">
      <c r="A33" s="319"/>
      <c r="V33" s="319"/>
    </row>
    <row r="34" ht="15.75" customHeight="1">
      <c r="A34" s="319"/>
      <c r="V34" s="319"/>
    </row>
    <row r="35" ht="15.75" customHeight="1">
      <c r="A35" s="319"/>
      <c r="V35" s="319"/>
    </row>
    <row r="36" ht="15.75" customHeight="1">
      <c r="A36" s="319"/>
      <c r="V36" s="319"/>
    </row>
    <row r="37" ht="15.75" customHeight="1">
      <c r="A37" s="319"/>
      <c r="V37" s="319"/>
    </row>
    <row r="38" ht="15.75" customHeight="1">
      <c r="A38" s="319"/>
      <c r="V38" s="319"/>
    </row>
    <row r="39" ht="15.75" customHeight="1">
      <c r="A39" s="319"/>
      <c r="V39" s="319"/>
    </row>
    <row r="40" ht="15.75" customHeight="1">
      <c r="A40" s="319"/>
      <c r="V40" s="319"/>
    </row>
    <row r="41" ht="15.75" customHeight="1">
      <c r="A41" s="319"/>
      <c r="V41" s="319"/>
    </row>
    <row r="42" ht="15.75" customHeight="1">
      <c r="A42" s="319"/>
      <c r="V42" s="319"/>
    </row>
    <row r="43" ht="15.75" customHeight="1">
      <c r="A43" s="319"/>
      <c r="V43" s="319"/>
    </row>
    <row r="44" ht="15.75" customHeight="1">
      <c r="A44" s="319"/>
      <c r="V44" s="319"/>
    </row>
    <row r="45" ht="15.75" customHeight="1">
      <c r="A45" s="319"/>
      <c r="V45" s="319"/>
    </row>
    <row r="46" ht="15.75" customHeight="1">
      <c r="A46" s="319"/>
      <c r="V46" s="319"/>
    </row>
    <row r="47" ht="15.75" customHeight="1">
      <c r="A47" s="319"/>
      <c r="V47" s="319"/>
    </row>
    <row r="48" ht="15.75" customHeight="1">
      <c r="A48" s="319"/>
      <c r="V48" s="319"/>
    </row>
    <row r="49" ht="15.75" customHeight="1">
      <c r="A49" s="319"/>
      <c r="V49" s="319"/>
    </row>
    <row r="50" ht="15.75" customHeight="1">
      <c r="A50" s="319"/>
      <c r="V50" s="319"/>
    </row>
    <row r="51" ht="15.75" customHeight="1">
      <c r="A51" s="319"/>
      <c r="V51" s="319"/>
    </row>
    <row r="52" ht="15.75" customHeight="1">
      <c r="A52" s="319"/>
      <c r="V52" s="319"/>
    </row>
    <row r="53" ht="15.75" customHeight="1">
      <c r="A53" s="319"/>
      <c r="V53" s="319"/>
    </row>
    <row r="54" ht="15.75" customHeight="1">
      <c r="A54" s="319"/>
      <c r="V54" s="319"/>
    </row>
    <row r="55" ht="15.75" customHeight="1">
      <c r="A55" s="319"/>
      <c r="V55" s="319"/>
    </row>
    <row r="56" ht="15.75" customHeight="1">
      <c r="A56" s="319"/>
      <c r="V56" s="319"/>
    </row>
    <row r="57" ht="15.75" customHeight="1">
      <c r="A57" s="319"/>
      <c r="V57" s="319"/>
    </row>
    <row r="58" ht="15.75" customHeight="1">
      <c r="A58" s="319"/>
      <c r="V58" s="319"/>
    </row>
    <row r="59" ht="15.75" customHeight="1">
      <c r="A59" s="319"/>
      <c r="V59" s="319"/>
    </row>
    <row r="60" ht="15.75" customHeight="1">
      <c r="A60" s="319"/>
      <c r="V60" s="319"/>
    </row>
    <row r="61" ht="15.75" customHeight="1">
      <c r="A61" s="319"/>
      <c r="V61" s="319"/>
    </row>
    <row r="62" ht="15.75" customHeight="1">
      <c r="A62" s="319"/>
      <c r="V62" s="319"/>
    </row>
    <row r="63" ht="15.75" customHeight="1">
      <c r="A63" s="319"/>
      <c r="V63" s="319"/>
    </row>
    <row r="64" ht="15.75" customHeight="1">
      <c r="A64" s="319"/>
      <c r="V64" s="319"/>
    </row>
    <row r="65" ht="15.75" customHeight="1">
      <c r="A65" s="319"/>
      <c r="V65" s="319"/>
    </row>
    <row r="66" ht="15.75" customHeight="1">
      <c r="A66" s="319"/>
      <c r="V66" s="319"/>
    </row>
    <row r="67" ht="15.75" customHeight="1">
      <c r="A67" s="319"/>
      <c r="V67" s="319"/>
    </row>
    <row r="68" ht="15.75" customHeight="1">
      <c r="A68" s="319"/>
      <c r="V68" s="319"/>
    </row>
    <row r="69" ht="15.75" customHeight="1">
      <c r="A69" s="319"/>
      <c r="V69" s="319"/>
    </row>
    <row r="70" ht="15.75" customHeight="1">
      <c r="A70" s="319"/>
      <c r="V70" s="319"/>
    </row>
    <row r="71" ht="15.75" customHeight="1">
      <c r="A71" s="319"/>
      <c r="V71" s="319"/>
    </row>
    <row r="72" ht="15.75" customHeight="1">
      <c r="A72" s="319"/>
      <c r="V72" s="319"/>
    </row>
    <row r="73" ht="15.75" customHeight="1">
      <c r="A73" s="319"/>
      <c r="V73" s="319"/>
    </row>
    <row r="74" ht="15.75" customHeight="1">
      <c r="A74" s="319"/>
      <c r="V74" s="319"/>
    </row>
    <row r="75" ht="15.75" customHeight="1">
      <c r="A75" s="319"/>
      <c r="V75" s="319"/>
    </row>
    <row r="76" ht="15.75" customHeight="1">
      <c r="A76" s="319"/>
      <c r="V76" s="319"/>
    </row>
    <row r="77" ht="15.75" customHeight="1">
      <c r="A77" s="319"/>
      <c r="V77" s="319"/>
    </row>
    <row r="78" ht="15.75" customHeight="1">
      <c r="A78" s="319"/>
      <c r="V78" s="319"/>
    </row>
    <row r="79" ht="15.75" customHeight="1">
      <c r="A79" s="319"/>
      <c r="V79" s="319"/>
    </row>
    <row r="80" ht="15.75" customHeight="1">
      <c r="A80" s="319"/>
      <c r="V80" s="319"/>
    </row>
    <row r="81" ht="15.75" customHeight="1">
      <c r="A81" s="319"/>
      <c r="V81" s="319"/>
    </row>
    <row r="82" ht="15.75" customHeight="1">
      <c r="A82" s="319"/>
      <c r="V82" s="319"/>
    </row>
    <row r="83" ht="15.75" customHeight="1">
      <c r="A83" s="319"/>
      <c r="V83" s="319"/>
    </row>
    <row r="84" ht="15.75" customHeight="1">
      <c r="A84" s="319"/>
      <c r="V84" s="319"/>
    </row>
    <row r="85" ht="15.75" customHeight="1">
      <c r="A85" s="319"/>
      <c r="V85" s="319"/>
    </row>
    <row r="86" ht="15.75" customHeight="1">
      <c r="A86" s="319"/>
      <c r="V86" s="319"/>
    </row>
    <row r="87" ht="15.75" customHeight="1">
      <c r="A87" s="319"/>
      <c r="V87" s="319"/>
    </row>
    <row r="88" ht="15.75" customHeight="1">
      <c r="A88" s="319"/>
      <c r="V88" s="319"/>
    </row>
    <row r="89" ht="15.75" customHeight="1">
      <c r="A89" s="319"/>
      <c r="V89" s="319"/>
    </row>
    <row r="90" ht="15.75" customHeight="1">
      <c r="A90" s="319"/>
      <c r="V90" s="319"/>
    </row>
    <row r="91" ht="15.75" customHeight="1">
      <c r="A91" s="319"/>
      <c r="V91" s="319"/>
    </row>
    <row r="92" ht="15.75" customHeight="1">
      <c r="A92" s="319"/>
      <c r="V92" s="319"/>
    </row>
    <row r="93" ht="15.75" customHeight="1">
      <c r="A93" s="319"/>
      <c r="V93" s="319"/>
    </row>
    <row r="94" ht="15.75" customHeight="1">
      <c r="A94" s="319"/>
      <c r="V94" s="319"/>
    </row>
    <row r="95" ht="15.75" customHeight="1">
      <c r="A95" s="319"/>
      <c r="V95" s="319"/>
    </row>
    <row r="96" ht="15.75" customHeight="1">
      <c r="A96" s="319"/>
      <c r="V96" s="319"/>
    </row>
    <row r="97" ht="15.75" customHeight="1">
      <c r="A97" s="319"/>
      <c r="V97" s="319"/>
    </row>
    <row r="98" ht="15.75" customHeight="1">
      <c r="A98" s="319"/>
      <c r="V98" s="319"/>
    </row>
    <row r="99" ht="15.75" customHeight="1">
      <c r="A99" s="319"/>
      <c r="V99" s="319"/>
    </row>
    <row r="100" ht="15.75" customHeight="1">
      <c r="A100" s="319"/>
      <c r="V100" s="319"/>
    </row>
    <row r="101" ht="15.75" customHeight="1">
      <c r="A101" s="319"/>
      <c r="V101" s="319"/>
    </row>
    <row r="102" ht="15.75" customHeight="1">
      <c r="A102" s="319"/>
      <c r="V102" s="319"/>
    </row>
    <row r="103" ht="15.75" customHeight="1">
      <c r="A103" s="319"/>
      <c r="V103" s="319"/>
    </row>
    <row r="104" ht="15.75" customHeight="1">
      <c r="A104" s="319"/>
      <c r="V104" s="319"/>
    </row>
    <row r="105" ht="15.75" customHeight="1">
      <c r="A105" s="319"/>
      <c r="V105" s="319"/>
    </row>
    <row r="106" ht="15.75" customHeight="1">
      <c r="A106" s="319"/>
      <c r="V106" s="319"/>
    </row>
    <row r="107" ht="15.75" customHeight="1">
      <c r="A107" s="319"/>
      <c r="V107" s="319"/>
    </row>
    <row r="108" ht="15.75" customHeight="1">
      <c r="A108" s="319"/>
      <c r="V108" s="319"/>
    </row>
    <row r="109" ht="15.75" customHeight="1">
      <c r="A109" s="319"/>
      <c r="V109" s="319"/>
    </row>
    <row r="110" ht="15.75" customHeight="1">
      <c r="A110" s="319"/>
      <c r="V110" s="319"/>
    </row>
    <row r="111" ht="15.75" customHeight="1">
      <c r="A111" s="319"/>
      <c r="V111" s="319"/>
    </row>
    <row r="112" ht="15.75" customHeight="1">
      <c r="A112" s="319"/>
      <c r="V112" s="319"/>
    </row>
    <row r="113" ht="15.75" customHeight="1">
      <c r="A113" s="319"/>
      <c r="V113" s="319"/>
    </row>
    <row r="114" ht="15.75" customHeight="1">
      <c r="A114" s="319"/>
      <c r="V114" s="319"/>
    </row>
    <row r="115" ht="15.75" customHeight="1">
      <c r="A115" s="319"/>
      <c r="V115" s="319"/>
    </row>
    <row r="116" ht="15.75" customHeight="1">
      <c r="A116" s="319"/>
      <c r="V116" s="319"/>
    </row>
    <row r="117" ht="15.75" customHeight="1">
      <c r="A117" s="319"/>
      <c r="V117" s="319"/>
    </row>
    <row r="118" ht="15.75" customHeight="1">
      <c r="A118" s="319"/>
      <c r="V118" s="319"/>
    </row>
    <row r="119" ht="15.75" customHeight="1">
      <c r="A119" s="319"/>
      <c r="V119" s="319"/>
    </row>
    <row r="120" ht="15.75" customHeight="1">
      <c r="A120" s="319"/>
      <c r="V120" s="319"/>
    </row>
    <row r="121" ht="15.75" customHeight="1">
      <c r="A121" s="319"/>
      <c r="V121" s="319"/>
    </row>
    <row r="122" ht="15.75" customHeight="1">
      <c r="A122" s="319"/>
      <c r="V122" s="319"/>
    </row>
    <row r="123" ht="15.75" customHeight="1">
      <c r="A123" s="319"/>
      <c r="V123" s="319"/>
    </row>
    <row r="124" ht="15.75" customHeight="1">
      <c r="A124" s="319"/>
      <c r="V124" s="319"/>
    </row>
    <row r="125" ht="15.75" customHeight="1">
      <c r="A125" s="319"/>
      <c r="V125" s="319"/>
    </row>
    <row r="126" ht="15.75" customHeight="1">
      <c r="A126" s="319"/>
      <c r="V126" s="319"/>
    </row>
    <row r="127" ht="15.75" customHeight="1">
      <c r="A127" s="319"/>
      <c r="V127" s="319"/>
    </row>
    <row r="128" ht="15.75" customHeight="1">
      <c r="A128" s="319"/>
      <c r="V128" s="319"/>
    </row>
    <row r="129" ht="15.75" customHeight="1">
      <c r="A129" s="319"/>
      <c r="V129" s="319"/>
    </row>
    <row r="130" ht="15.75" customHeight="1">
      <c r="A130" s="319"/>
      <c r="V130" s="319"/>
    </row>
    <row r="131" ht="15.75" customHeight="1">
      <c r="A131" s="319"/>
      <c r="V131" s="319"/>
    </row>
    <row r="132" ht="15.75" customHeight="1">
      <c r="A132" s="319"/>
      <c r="V132" s="319"/>
    </row>
    <row r="133" ht="15.75" customHeight="1">
      <c r="A133" s="319"/>
      <c r="V133" s="319"/>
    </row>
    <row r="134" ht="15.75" customHeight="1">
      <c r="A134" s="319"/>
      <c r="V134" s="319"/>
    </row>
    <row r="135" ht="15.75" customHeight="1">
      <c r="A135" s="319"/>
      <c r="V135" s="319"/>
    </row>
    <row r="136" ht="15.75" customHeight="1">
      <c r="A136" s="319"/>
      <c r="V136" s="319"/>
    </row>
    <row r="137" ht="15.75" customHeight="1">
      <c r="A137" s="319"/>
      <c r="V137" s="319"/>
    </row>
    <row r="138" ht="15.75" customHeight="1">
      <c r="A138" s="319"/>
      <c r="V138" s="319"/>
    </row>
    <row r="139" ht="15.75" customHeight="1">
      <c r="A139" s="319"/>
      <c r="V139" s="319"/>
    </row>
    <row r="140" ht="15.75" customHeight="1">
      <c r="A140" s="319"/>
      <c r="V140" s="319"/>
    </row>
    <row r="141" ht="15.75" customHeight="1">
      <c r="A141" s="319"/>
      <c r="V141" s="319"/>
    </row>
    <row r="142" ht="15.75" customHeight="1">
      <c r="A142" s="319"/>
      <c r="V142" s="319"/>
    </row>
    <row r="143" ht="15.75" customHeight="1">
      <c r="A143" s="319"/>
      <c r="V143" s="319"/>
    </row>
    <row r="144" ht="15.75" customHeight="1">
      <c r="A144" s="319"/>
      <c r="V144" s="319"/>
    </row>
    <row r="145" ht="15.75" customHeight="1">
      <c r="A145" s="319"/>
      <c r="V145" s="319"/>
    </row>
    <row r="146" ht="15.75" customHeight="1">
      <c r="A146" s="319"/>
      <c r="V146" s="319"/>
    </row>
    <row r="147" ht="15.75" customHeight="1">
      <c r="A147" s="319"/>
      <c r="V147" s="319"/>
    </row>
    <row r="148" ht="15.75" customHeight="1">
      <c r="A148" s="319"/>
      <c r="V148" s="319"/>
    </row>
    <row r="149" ht="15.75" customHeight="1">
      <c r="A149" s="319"/>
      <c r="V149" s="319"/>
    </row>
    <row r="150" ht="15.75" customHeight="1">
      <c r="A150" s="319"/>
      <c r="V150" s="319"/>
    </row>
    <row r="151" ht="15.75" customHeight="1">
      <c r="A151" s="319"/>
      <c r="V151" s="319"/>
    </row>
    <row r="152" ht="15.75" customHeight="1">
      <c r="A152" s="319"/>
      <c r="V152" s="319"/>
    </row>
    <row r="153" ht="15.75" customHeight="1">
      <c r="A153" s="319"/>
      <c r="V153" s="319"/>
    </row>
    <row r="154" ht="15.75" customHeight="1">
      <c r="A154" s="319"/>
      <c r="V154" s="319"/>
    </row>
    <row r="155" ht="15.75" customHeight="1">
      <c r="A155" s="319"/>
      <c r="V155" s="319"/>
    </row>
    <row r="156" ht="15.75" customHeight="1">
      <c r="A156" s="319"/>
      <c r="V156" s="319"/>
    </row>
    <row r="157" ht="15.75" customHeight="1">
      <c r="A157" s="319"/>
      <c r="V157" s="319"/>
    </row>
    <row r="158" ht="15.75" customHeight="1">
      <c r="A158" s="319"/>
      <c r="V158" s="319"/>
    </row>
    <row r="159" ht="15.75" customHeight="1">
      <c r="A159" s="319"/>
      <c r="V159" s="319"/>
    </row>
    <row r="160" ht="15.75" customHeight="1">
      <c r="A160" s="319"/>
      <c r="V160" s="319"/>
    </row>
    <row r="161" ht="15.75" customHeight="1">
      <c r="A161" s="319"/>
      <c r="V161" s="319"/>
    </row>
    <row r="162" ht="15.75" customHeight="1">
      <c r="A162" s="319"/>
      <c r="V162" s="319"/>
    </row>
    <row r="163" ht="15.75" customHeight="1">
      <c r="A163" s="319"/>
      <c r="V163" s="319"/>
    </row>
    <row r="164" ht="15.75" customHeight="1">
      <c r="A164" s="319"/>
      <c r="V164" s="319"/>
    </row>
    <row r="165" ht="15.75" customHeight="1">
      <c r="A165" s="319"/>
      <c r="V165" s="319"/>
    </row>
    <row r="166" ht="15.75" customHeight="1">
      <c r="A166" s="319"/>
      <c r="V166" s="319"/>
    </row>
    <row r="167" ht="15.75" customHeight="1">
      <c r="A167" s="319"/>
      <c r="V167" s="319"/>
    </row>
    <row r="168" ht="15.75" customHeight="1">
      <c r="A168" s="319"/>
      <c r="V168" s="319"/>
    </row>
    <row r="169" ht="15.75" customHeight="1">
      <c r="A169" s="319"/>
      <c r="V169" s="319"/>
    </row>
    <row r="170" ht="15.75" customHeight="1">
      <c r="A170" s="319"/>
      <c r="V170" s="319"/>
    </row>
    <row r="171" ht="15.75" customHeight="1">
      <c r="A171" s="319"/>
      <c r="V171" s="319"/>
    </row>
    <row r="172" ht="15.75" customHeight="1">
      <c r="A172" s="319"/>
      <c r="V172" s="319"/>
    </row>
    <row r="173" ht="15.75" customHeight="1">
      <c r="A173" s="319"/>
      <c r="V173" s="319"/>
    </row>
    <row r="174" ht="15.75" customHeight="1">
      <c r="A174" s="319"/>
      <c r="V174" s="319"/>
    </row>
    <row r="175" ht="15.75" customHeight="1">
      <c r="A175" s="319"/>
      <c r="V175" s="319"/>
    </row>
    <row r="176" ht="15.75" customHeight="1">
      <c r="A176" s="319"/>
      <c r="V176" s="319"/>
    </row>
    <row r="177" ht="15.75" customHeight="1">
      <c r="A177" s="319"/>
      <c r="V177" s="319"/>
    </row>
    <row r="178" ht="15.75" customHeight="1">
      <c r="A178" s="319"/>
      <c r="V178" s="319"/>
    </row>
    <row r="179" ht="15.75" customHeight="1">
      <c r="A179" s="319"/>
      <c r="V179" s="319"/>
    </row>
    <row r="180" ht="15.75" customHeight="1">
      <c r="A180" s="319"/>
      <c r="V180" s="319"/>
    </row>
    <row r="181" ht="15.75" customHeight="1">
      <c r="A181" s="319"/>
      <c r="V181" s="319"/>
    </row>
    <row r="182" ht="15.75" customHeight="1">
      <c r="A182" s="319"/>
      <c r="V182" s="319"/>
    </row>
    <row r="183" ht="15.75" customHeight="1">
      <c r="A183" s="319"/>
      <c r="V183" s="319"/>
    </row>
    <row r="184" ht="15.75" customHeight="1">
      <c r="A184" s="319"/>
      <c r="V184" s="319"/>
    </row>
    <row r="185" ht="15.75" customHeight="1">
      <c r="A185" s="319"/>
      <c r="V185" s="319"/>
    </row>
    <row r="186" ht="15.75" customHeight="1">
      <c r="A186" s="319"/>
      <c r="V186" s="319"/>
    </row>
    <row r="187" ht="15.75" customHeight="1">
      <c r="A187" s="319"/>
      <c r="V187" s="319"/>
    </row>
    <row r="188" ht="15.75" customHeight="1">
      <c r="A188" s="319"/>
      <c r="V188" s="319"/>
    </row>
    <row r="189" ht="15.75" customHeight="1">
      <c r="A189" s="319"/>
      <c r="V189" s="319"/>
    </row>
    <row r="190" ht="15.75" customHeight="1">
      <c r="A190" s="319"/>
      <c r="V190" s="319"/>
    </row>
    <row r="191" ht="15.75" customHeight="1">
      <c r="A191" s="319"/>
      <c r="V191" s="319"/>
    </row>
    <row r="192" ht="15.75" customHeight="1">
      <c r="A192" s="319"/>
      <c r="V192" s="319"/>
    </row>
    <row r="193" ht="15.75" customHeight="1">
      <c r="A193" s="319"/>
      <c r="V193" s="319"/>
    </row>
    <row r="194" ht="15.75" customHeight="1">
      <c r="A194" s="319"/>
      <c r="V194" s="319"/>
    </row>
    <row r="195" ht="15.75" customHeight="1">
      <c r="A195" s="319"/>
      <c r="V195" s="319"/>
    </row>
    <row r="196" ht="15.75" customHeight="1">
      <c r="A196" s="319"/>
      <c r="V196" s="319"/>
    </row>
    <row r="197" ht="15.75" customHeight="1">
      <c r="A197" s="319"/>
      <c r="V197" s="319"/>
    </row>
    <row r="198" ht="15.75" customHeight="1">
      <c r="A198" s="319"/>
      <c r="V198" s="319"/>
    </row>
    <row r="199" ht="15.75" customHeight="1">
      <c r="A199" s="319"/>
      <c r="V199" s="319"/>
    </row>
    <row r="200" ht="15.75" customHeight="1">
      <c r="A200" s="319"/>
      <c r="V200" s="319"/>
    </row>
    <row r="201" ht="15.75" customHeight="1">
      <c r="A201" s="319"/>
      <c r="V201" s="319"/>
    </row>
    <row r="202" ht="15.75" customHeight="1">
      <c r="A202" s="319"/>
      <c r="V202" s="319"/>
    </row>
    <row r="203" ht="15.75" customHeight="1">
      <c r="A203" s="319"/>
      <c r="V203" s="319"/>
    </row>
    <row r="204" ht="15.75" customHeight="1">
      <c r="A204" s="319"/>
      <c r="V204" s="319"/>
    </row>
    <row r="205" ht="15.75" customHeight="1">
      <c r="A205" s="319"/>
      <c r="V205" s="319"/>
    </row>
    <row r="206" ht="15.75" customHeight="1">
      <c r="A206" s="319"/>
      <c r="V206" s="319"/>
    </row>
    <row r="207" ht="15.75" customHeight="1">
      <c r="A207" s="319"/>
      <c r="V207" s="319"/>
    </row>
    <row r="208" ht="15.75" customHeight="1">
      <c r="A208" s="319"/>
      <c r="V208" s="319"/>
    </row>
    <row r="209" ht="15.75" customHeight="1">
      <c r="A209" s="319"/>
      <c r="V209" s="319"/>
    </row>
    <row r="210" ht="15.75" customHeight="1">
      <c r="A210" s="319"/>
      <c r="V210" s="319"/>
    </row>
    <row r="211" ht="15.75" customHeight="1">
      <c r="A211" s="319"/>
      <c r="V211" s="319"/>
    </row>
    <row r="212" ht="15.75" customHeight="1">
      <c r="A212" s="319"/>
      <c r="V212" s="319"/>
    </row>
    <row r="213" ht="15.75" customHeight="1">
      <c r="A213" s="319"/>
      <c r="V213" s="319"/>
    </row>
    <row r="214" ht="15.75" customHeight="1">
      <c r="A214" s="319"/>
      <c r="V214" s="319"/>
    </row>
    <row r="215" ht="15.75" customHeight="1">
      <c r="A215" s="319"/>
      <c r="V215" s="319"/>
    </row>
    <row r="216" ht="15.75" customHeight="1">
      <c r="A216" s="319"/>
      <c r="V216" s="319"/>
    </row>
    <row r="217" ht="15.75" customHeight="1">
      <c r="A217" s="319"/>
      <c r="V217" s="319"/>
    </row>
    <row r="218" ht="15.75" customHeight="1">
      <c r="A218" s="319"/>
      <c r="V218" s="319"/>
    </row>
    <row r="219" ht="15.75" customHeight="1">
      <c r="A219" s="319"/>
      <c r="V219" s="319"/>
    </row>
    <row r="220" ht="15.75" customHeight="1">
      <c r="A220" s="319"/>
      <c r="V220" s="319"/>
    </row>
    <row r="221" ht="15.75" customHeight="1">
      <c r="A221" s="319"/>
      <c r="V221" s="319"/>
    </row>
    <row r="222" ht="15.75" customHeight="1">
      <c r="A222" s="319"/>
      <c r="V222" s="319"/>
    </row>
    <row r="223" ht="15.75" customHeight="1">
      <c r="A223" s="319"/>
      <c r="V223" s="319"/>
    </row>
    <row r="224" ht="15.75" customHeight="1">
      <c r="A224" s="319"/>
      <c r="V224" s="319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F23:T23"/>
    <mergeCell ref="F24:J24"/>
    <mergeCell ref="K24:L24"/>
    <mergeCell ref="M24:P24"/>
    <mergeCell ref="Q24:R24"/>
    <mergeCell ref="S24:T24"/>
    <mergeCell ref="D15:D24"/>
    <mergeCell ref="F15:T15"/>
    <mergeCell ref="V15:V24"/>
    <mergeCell ref="F16:G16"/>
    <mergeCell ref="I16:K16"/>
    <mergeCell ref="M16:O16"/>
    <mergeCell ref="Q16:R16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4A8A010-F961-4D14-A8A8-60910605C23A}" mc:Ignorable="x14ac xr xr2 xr3">
  <sheetPr>
    <outlinePr summaryBelow="0" summaryRight="0"/>
    <pageSetUpPr fitToPage="1"/>
  </sheetPr>
  <dimension ref="A1:Z1000"/>
  <sheetViews>
    <sheetView topLeftCell="A1" workbookViewId="0">
      <selection activeCell="A1" sqref="A1"/>
    </sheetView>
  </sheetViews>
  <sheetFormatPr defaultRowHeight="15" defaultColWidth="14.421875" customHeight="1"/>
  <cols>
    <col min="3" max="3" width="17.7109375" customWidth="1"/>
    <col min="5" max="5" width="20.421875" customWidth="1"/>
    <col min="6" max="6" width="19.00390625" customWidth="1"/>
    <col min="7" max="7" width="17.8515625" customWidth="1"/>
    <col min="8" max="8" width="18.421875" customWidth="1"/>
  </cols>
  <sheetData>
    <row r="1" ht="15" customHeight="1">
      <c r="A1" s="113" t="s">
        <v>473</v>
      </c>
      <c r="B1" s="113" t="s">
        <v>474</v>
      </c>
      <c r="C1" s="113" t="s">
        <v>475</v>
      </c>
      <c r="D1" s="113" t="s">
        <v>476</v>
      </c>
      <c r="E1" s="113" t="s">
        <v>477</v>
      </c>
      <c r="F1" s="113" t="s">
        <v>478</v>
      </c>
      <c r="G1" s="113" t="s">
        <v>479</v>
      </c>
      <c r="H1" s="113" t="s">
        <v>480</v>
      </c>
      <c r="I1" s="113" t="s">
        <v>481</v>
      </c>
      <c r="J1" s="49" t="s">
        <v>482</v>
      </c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ht="15" customHeight="1">
      <c r="A2" s="352" t="s">
        <v>483</v>
      </c>
      <c r="B2" s="353">
        <v>46147</v>
      </c>
      <c r="C2" s="354" t="s">
        <v>484</v>
      </c>
      <c r="D2" s="352" t="s">
        <v>485</v>
      </c>
      <c r="E2" s="51" t="s">
        <v>486</v>
      </c>
      <c r="F2" s="355">
        <f>Checklist_Cliente!C21</f>
        <v>4.5</v>
      </c>
      <c r="G2" s="352">
        <v>130</v>
      </c>
      <c r="H2" s="57">
        <f>Checklist_Control_Interno!C19</f>
        <v>0.9</v>
      </c>
      <c r="I2" s="356">
        <v>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" customHeight="1">
      <c r="A3" s="352" t="s">
        <v>483</v>
      </c>
      <c r="B3" s="353">
        <v>46148</v>
      </c>
      <c r="C3" s="354" t="s">
        <v>487</v>
      </c>
      <c r="D3" s="352" t="s">
        <v>485</v>
      </c>
      <c r="E3" s="51" t="s">
        <v>486</v>
      </c>
      <c r="F3" s="355">
        <f>Checklist_Cliente!C44</f>
        <v>5</v>
      </c>
      <c r="G3" s="352">
        <v>110</v>
      </c>
      <c r="H3" s="357">
        <f>Checklist_Control_Interno!C41</f>
        <v>0.95</v>
      </c>
      <c r="I3" s="356">
        <v>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" customHeight="1">
      <c r="A4" s="352" t="s">
        <v>483</v>
      </c>
      <c r="B4" s="353">
        <v>46149</v>
      </c>
      <c r="C4" s="354" t="s">
        <v>488</v>
      </c>
      <c r="D4" s="352" t="s">
        <v>485</v>
      </c>
      <c r="E4" s="51" t="s">
        <v>486</v>
      </c>
      <c r="F4" s="355">
        <f>Checklist_Cliente!C67</f>
        <v>4</v>
      </c>
      <c r="G4" s="352">
        <v>140</v>
      </c>
      <c r="H4" s="57">
        <f>Checklist_Control_Interno!C63</f>
        <v>0.8</v>
      </c>
      <c r="I4" s="356">
        <v>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" customHeight="1">
      <c r="A5" s="352" t="s">
        <v>483</v>
      </c>
      <c r="B5" s="353">
        <v>46150</v>
      </c>
      <c r="C5" s="354" t="s">
        <v>489</v>
      </c>
      <c r="D5" s="352" t="s">
        <v>485</v>
      </c>
      <c r="E5" s="51" t="s">
        <v>486</v>
      </c>
      <c r="F5" s="355">
        <f>Checklist_Cliente!C90</f>
        <v>5</v>
      </c>
      <c r="G5" s="352">
        <v>105</v>
      </c>
      <c r="H5" s="357">
        <f>Checklist_Control_Interno!C85</f>
        <v>1</v>
      </c>
      <c r="I5" s="355">
        <v>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" customHeight="1">
      <c r="A6" s="352" t="s">
        <v>483</v>
      </c>
      <c r="B6" s="353">
        <v>46151</v>
      </c>
      <c r="C6" s="354" t="s">
        <v>490</v>
      </c>
      <c r="D6" s="352" t="s">
        <v>485</v>
      </c>
      <c r="E6" s="51" t="s">
        <v>486</v>
      </c>
      <c r="F6" s="355">
        <f>Checklist_Cliente!C113</f>
        <v>4.2</v>
      </c>
      <c r="G6" s="352">
        <v>125</v>
      </c>
      <c r="H6" s="357">
        <f>Checklist_Control_Interno!C107</f>
        <v>0.85</v>
      </c>
      <c r="I6" s="355">
        <v>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" customHeight="1">
      <c r="A7" s="352" t="s">
        <v>483</v>
      </c>
      <c r="B7" s="353">
        <v>46153</v>
      </c>
      <c r="C7" s="354" t="s">
        <v>491</v>
      </c>
      <c r="D7" s="352" t="s">
        <v>485</v>
      </c>
      <c r="E7" s="51" t="s">
        <v>486</v>
      </c>
      <c r="F7" s="355">
        <f>Checklist_Cliente!C136</f>
        <v>3.2</v>
      </c>
      <c r="G7" s="352">
        <v>130</v>
      </c>
      <c r="H7" s="57">
        <f>Checklist_Control_Interno!C129</f>
        <v>0.875</v>
      </c>
      <c r="I7" s="355">
        <v>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" customHeight="1">
      <c r="A8" s="352" t="s">
        <v>483</v>
      </c>
      <c r="B8" s="353">
        <v>46153</v>
      </c>
      <c r="C8" s="354" t="s">
        <v>492</v>
      </c>
      <c r="D8" s="352" t="s">
        <v>485</v>
      </c>
      <c r="E8" s="51" t="s">
        <v>486</v>
      </c>
      <c r="F8" s="355">
        <f>Checklist_Cliente!C159</f>
        <v>4.1</v>
      </c>
      <c r="G8" s="352">
        <v>120</v>
      </c>
      <c r="H8" s="57">
        <f>Checklist_Control_Interno!C151</f>
        <v>0.9</v>
      </c>
      <c r="I8" s="355">
        <v>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" customHeight="1">
      <c r="A9" s="352" t="s">
        <v>483</v>
      </c>
      <c r="B9" s="353">
        <v>46153</v>
      </c>
      <c r="C9" s="354" t="s">
        <v>493</v>
      </c>
      <c r="D9" s="352" t="s">
        <v>485</v>
      </c>
      <c r="E9" s="51" t="s">
        <v>486</v>
      </c>
      <c r="F9" s="355">
        <f>Checklist_Cliente!C182</f>
        <v>4</v>
      </c>
      <c r="G9" s="352">
        <v>140</v>
      </c>
      <c r="H9" s="57">
        <f>Checklist_Control_Interno!C173</f>
        <v>0.7</v>
      </c>
      <c r="I9" s="355">
        <v>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" customHeight="1">
      <c r="A10" s="352" t="s">
        <v>483</v>
      </c>
      <c r="B10" s="353">
        <v>46154</v>
      </c>
      <c r="C10" s="354" t="s">
        <v>494</v>
      </c>
      <c r="D10" s="352" t="s">
        <v>485</v>
      </c>
      <c r="E10" s="51" t="s">
        <v>486</v>
      </c>
      <c r="F10" s="355">
        <f>Checklist_Cliente!C205</f>
        <v>5</v>
      </c>
      <c r="G10" s="352">
        <v>110</v>
      </c>
      <c r="H10" s="57">
        <f>Checklist_Control_Interno!C195</f>
        <v>1</v>
      </c>
      <c r="I10" s="355">
        <v>5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" customHeight="1">
      <c r="A11" s="352" t="s">
        <v>483</v>
      </c>
      <c r="B11" s="353">
        <v>46155</v>
      </c>
      <c r="C11" s="354" t="s">
        <v>495</v>
      </c>
      <c r="D11" s="352" t="s">
        <v>485</v>
      </c>
      <c r="E11" s="51" t="s">
        <v>486</v>
      </c>
      <c r="F11" s="355">
        <f>Checklist_Cliente!C228</f>
        <v>4.9</v>
      </c>
      <c r="G11" s="352">
        <v>115</v>
      </c>
      <c r="H11" s="57">
        <f>Checklist_Control_Interno!C217</f>
        <v>0.925</v>
      </c>
      <c r="I11" s="355">
        <v>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" customHeight="1">
      <c r="A12" s="352" t="s">
        <v>483</v>
      </c>
      <c r="B12" s="353">
        <v>46155</v>
      </c>
      <c r="C12" s="354" t="s">
        <v>496</v>
      </c>
      <c r="D12" s="352" t="s">
        <v>485</v>
      </c>
      <c r="E12" s="51" t="s">
        <v>486</v>
      </c>
      <c r="F12" s="355">
        <f>Checklist_Cliente!C251</f>
        <v>4.8</v>
      </c>
      <c r="G12" s="352">
        <v>120</v>
      </c>
      <c r="H12" s="57">
        <f>Checklist_Control_Interno!C217</f>
        <v>0.925</v>
      </c>
      <c r="I12" s="355">
        <v>5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" customHeight="1">
      <c r="A13" s="352" t="s">
        <v>483</v>
      </c>
      <c r="B13" s="353">
        <v>46156</v>
      </c>
      <c r="C13" s="354" t="s">
        <v>497</v>
      </c>
      <c r="D13" s="352" t="s">
        <v>485</v>
      </c>
      <c r="E13" s="51" t="s">
        <v>486</v>
      </c>
      <c r="F13" s="355">
        <f>Checklist_Cliente!C274</f>
        <v>4.5</v>
      </c>
      <c r="G13" s="352">
        <v>120</v>
      </c>
      <c r="H13" s="57">
        <f>Checklist_Control_Interno!C239</f>
        <v>0.85</v>
      </c>
      <c r="I13" s="355">
        <v>4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" customHeight="1">
      <c r="A14" s="352" t="s">
        <v>483</v>
      </c>
      <c r="B14" s="353">
        <v>46156</v>
      </c>
      <c r="C14" s="354" t="s">
        <v>498</v>
      </c>
      <c r="D14" s="352" t="s">
        <v>485</v>
      </c>
      <c r="E14" s="51" t="s">
        <v>486</v>
      </c>
      <c r="F14" s="355">
        <f>Checklist_Cliente!C297</f>
        <v>3.7</v>
      </c>
      <c r="G14" s="352">
        <v>135</v>
      </c>
      <c r="H14" s="57">
        <f>Checklist_Control_Interno!C283</f>
        <v>0.85</v>
      </c>
      <c r="I14" s="355">
        <v>4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" customHeight="1">
      <c r="A15" s="352" t="s">
        <v>483</v>
      </c>
      <c r="B15" s="353">
        <v>46157</v>
      </c>
      <c r="C15" s="354" t="s">
        <v>499</v>
      </c>
      <c r="D15" s="352" t="s">
        <v>485</v>
      </c>
      <c r="E15" s="51" t="s">
        <v>486</v>
      </c>
      <c r="F15" s="355">
        <f>Checklist_Cliente!C320</f>
        <v>4.5</v>
      </c>
      <c r="G15" s="352">
        <v>125</v>
      </c>
      <c r="H15" s="57">
        <f>Checklist_Control_Interno!C305</f>
        <v>0.825</v>
      </c>
      <c r="I15" s="355">
        <v>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" customHeight="1">
      <c r="A16" s="352" t="s">
        <v>483</v>
      </c>
      <c r="B16" s="353">
        <v>46157</v>
      </c>
      <c r="C16" s="354" t="s">
        <v>500</v>
      </c>
      <c r="D16" s="352" t="s">
        <v>485</v>
      </c>
      <c r="E16" s="51" t="s">
        <v>486</v>
      </c>
      <c r="F16" s="355">
        <f>Checklist_Cliente!C343</f>
        <v>5</v>
      </c>
      <c r="G16" s="352">
        <v>125</v>
      </c>
      <c r="H16" s="57">
        <f>Checklist_Control_Interno!C327</f>
        <v>0.9</v>
      </c>
      <c r="I16" s="355">
        <v>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" customHeight="1">
      <c r="A17" s="352" t="s">
        <v>483</v>
      </c>
      <c r="B17" s="353">
        <v>46158</v>
      </c>
      <c r="C17" s="354" t="s">
        <v>501</v>
      </c>
      <c r="D17" s="352" t="s">
        <v>485</v>
      </c>
      <c r="E17" s="51" t="s">
        <v>486</v>
      </c>
      <c r="F17" s="355">
        <f>Checklist_Cliente!C366</f>
        <v>4.3</v>
      </c>
      <c r="G17" s="352">
        <v>135</v>
      </c>
      <c r="H17" s="57">
        <f>Checklist_Control_Interno!C349</f>
        <v>0.825</v>
      </c>
      <c r="I17" s="355">
        <v>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" customHeight="1">
      <c r="A18" s="352" t="s">
        <v>483</v>
      </c>
      <c r="B18" s="353">
        <v>46158</v>
      </c>
      <c r="C18" s="354" t="s">
        <v>502</v>
      </c>
      <c r="D18" s="352" t="s">
        <v>485</v>
      </c>
      <c r="E18" s="51" t="s">
        <v>486</v>
      </c>
      <c r="F18" s="355">
        <f>Checklist_Cliente!C389</f>
        <v>4.7</v>
      </c>
      <c r="G18" s="352">
        <v>130</v>
      </c>
      <c r="H18" s="57">
        <f>Checklist_Control_Interno!C371</f>
        <v>0.9</v>
      </c>
      <c r="I18" s="355">
        <v>4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" customHeight="1">
      <c r="A19" s="352" t="s">
        <v>483</v>
      </c>
      <c r="B19" s="353">
        <v>46159</v>
      </c>
      <c r="C19" s="354" t="s">
        <v>503</v>
      </c>
      <c r="D19" s="352" t="s">
        <v>485</v>
      </c>
      <c r="E19" s="51" t="s">
        <v>486</v>
      </c>
      <c r="F19" s="355">
        <f>Checklist_Cliente!C412</f>
        <v>5</v>
      </c>
      <c r="G19" s="352">
        <v>120</v>
      </c>
      <c r="H19" s="57">
        <f>Checklist_Control_Interno!C393</f>
        <v>0.975</v>
      </c>
      <c r="I19" s="355">
        <v>5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" customHeight="1">
      <c r="A20" s="352" t="s">
        <v>483</v>
      </c>
      <c r="B20" s="353">
        <v>46159</v>
      </c>
      <c r="C20" s="354" t="s">
        <v>504</v>
      </c>
      <c r="D20" s="352" t="s">
        <v>485</v>
      </c>
      <c r="E20" s="51" t="s">
        <v>486</v>
      </c>
      <c r="F20" s="355">
        <f>Checklist_Cliente!C435</f>
        <v>4.7</v>
      </c>
      <c r="G20" s="352">
        <v>120</v>
      </c>
      <c r="H20" s="57">
        <f>Checklist_Control_Interno!C415</f>
        <v>0.875</v>
      </c>
      <c r="I20" s="355">
        <v>4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352" t="s">
        <v>483</v>
      </c>
      <c r="B21" s="353">
        <v>46160</v>
      </c>
      <c r="C21" s="354" t="s">
        <v>505</v>
      </c>
      <c r="D21" s="352" t="s">
        <v>485</v>
      </c>
      <c r="E21" s="51" t="s">
        <v>486</v>
      </c>
      <c r="F21" s="355">
        <f>Checklist_Cliente!C458</f>
        <v>3.9</v>
      </c>
      <c r="G21" s="352">
        <v>130</v>
      </c>
      <c r="H21" s="57">
        <f>Checklist_Control_Interno!C437</f>
        <v>0.875</v>
      </c>
      <c r="I21" s="355">
        <v>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47"/>
      <c r="B22" s="247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47"/>
      <c r="B23" s="247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47"/>
      <c r="B24" s="247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47"/>
      <c r="B25" s="247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47"/>
      <c r="B26" s="247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47"/>
      <c r="B27" s="247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47"/>
      <c r="B28" s="247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47"/>
      <c r="B29" s="247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47"/>
      <c r="B30" s="247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47"/>
      <c r="B31" s="247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47"/>
      <c r="B32" s="247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47"/>
      <c r="B33" s="247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47"/>
      <c r="B34" s="247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47"/>
      <c r="B35" s="247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47"/>
      <c r="B36" s="247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47"/>
      <c r="B37" s="247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247"/>
      <c r="B38" s="247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247"/>
      <c r="B39" s="247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247"/>
      <c r="B40" s="247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247"/>
      <c r="B41" s="247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247"/>
      <c r="B42" s="247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247"/>
      <c r="B43" s="247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47"/>
      <c r="B44" s="247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247"/>
      <c r="B45" s="247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247"/>
      <c r="B46" s="247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247"/>
      <c r="B47" s="247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247"/>
      <c r="B48" s="247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247"/>
      <c r="B49" s="247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247"/>
      <c r="B50" s="247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247"/>
      <c r="B51" s="247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247"/>
      <c r="B52" s="247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247"/>
      <c r="B53" s="247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247"/>
      <c r="B54" s="247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247"/>
      <c r="B55" s="247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247"/>
      <c r="B56" s="247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247"/>
      <c r="B57" s="247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247"/>
      <c r="B58" s="247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247"/>
      <c r="B59" s="247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247"/>
      <c r="B60" s="247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247"/>
      <c r="B61" s="247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247"/>
      <c r="B62" s="247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247"/>
      <c r="B63" s="247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247"/>
      <c r="B64" s="247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247"/>
      <c r="B65" s="247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247"/>
      <c r="B66" s="247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247"/>
      <c r="B67" s="247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247"/>
      <c r="B68" s="247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247"/>
      <c r="B69" s="247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247"/>
      <c r="B70" s="247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247"/>
      <c r="B71" s="247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247"/>
      <c r="B72" s="247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247"/>
      <c r="B73" s="247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247"/>
      <c r="B74" s="247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247"/>
      <c r="B75" s="247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247"/>
      <c r="B76" s="247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247"/>
      <c r="B77" s="247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247"/>
      <c r="B78" s="247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247"/>
      <c r="B79" s="247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247"/>
      <c r="B80" s="247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247"/>
      <c r="B81" s="247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247"/>
      <c r="B82" s="247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247"/>
      <c r="B83" s="247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247"/>
      <c r="B84" s="247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247"/>
      <c r="B85" s="247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247"/>
      <c r="B86" s="247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247"/>
      <c r="B87" s="247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247"/>
      <c r="B88" s="247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247"/>
      <c r="B89" s="247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247"/>
      <c r="B90" s="247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247"/>
      <c r="B91" s="247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247"/>
      <c r="B92" s="247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247"/>
      <c r="B93" s="247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247"/>
      <c r="B94" s="247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247"/>
      <c r="B95" s="247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247"/>
      <c r="B96" s="247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247"/>
      <c r="B97" s="247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247"/>
      <c r="B98" s="247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247"/>
      <c r="B99" s="247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247"/>
      <c r="B100" s="247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247"/>
      <c r="B101" s="247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247"/>
      <c r="B102" s="247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247"/>
      <c r="B103" s="247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247"/>
      <c r="B104" s="247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247"/>
      <c r="B105" s="247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247"/>
      <c r="B106" s="247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247"/>
      <c r="B107" s="247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247"/>
      <c r="B108" s="247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247"/>
      <c r="B109" s="247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247"/>
      <c r="B110" s="247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247"/>
      <c r="B111" s="247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247"/>
      <c r="B112" s="247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247"/>
      <c r="B113" s="247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247"/>
      <c r="B114" s="247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247"/>
      <c r="B115" s="247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247"/>
      <c r="B116" s="247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247"/>
      <c r="B117" s="247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247"/>
      <c r="B118" s="247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247"/>
      <c r="B119" s="247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247"/>
      <c r="B120" s="247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247"/>
      <c r="B121" s="247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247"/>
      <c r="B122" s="247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247"/>
      <c r="B123" s="247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247"/>
      <c r="B124" s="247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247"/>
      <c r="B125" s="247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247"/>
      <c r="B126" s="247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247"/>
      <c r="B127" s="247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247"/>
      <c r="B128" s="247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247"/>
      <c r="B129" s="247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247"/>
      <c r="B130" s="247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247"/>
      <c r="B131" s="247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247"/>
      <c r="B132" s="247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247"/>
      <c r="B133" s="247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247"/>
      <c r="B134" s="247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247"/>
      <c r="B135" s="247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247"/>
      <c r="B136" s="247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247"/>
      <c r="B137" s="247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247"/>
      <c r="B138" s="247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247"/>
      <c r="B139" s="247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247"/>
      <c r="B140" s="247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247"/>
      <c r="B141" s="247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247"/>
      <c r="B142" s="247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247"/>
      <c r="B143" s="247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247"/>
      <c r="B144" s="247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247"/>
      <c r="B145" s="247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247"/>
      <c r="B146" s="247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247"/>
      <c r="B147" s="247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247"/>
      <c r="B148" s="247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247"/>
      <c r="B149" s="247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247"/>
      <c r="B150" s="247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247"/>
      <c r="B151" s="247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247"/>
      <c r="B152" s="247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247"/>
      <c r="B153" s="247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247"/>
      <c r="B154" s="247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247"/>
      <c r="B155" s="247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247"/>
      <c r="B156" s="247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247"/>
      <c r="B157" s="247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247"/>
      <c r="B158" s="247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247"/>
      <c r="B159" s="247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247"/>
      <c r="B160" s="247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247"/>
      <c r="B161" s="247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247"/>
      <c r="B162" s="247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247"/>
      <c r="B163" s="247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247"/>
      <c r="B164" s="247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247"/>
      <c r="B165" s="247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247"/>
      <c r="B166" s="247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247"/>
      <c r="B167" s="247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247"/>
      <c r="B168" s="247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247"/>
      <c r="B169" s="247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247"/>
      <c r="B170" s="247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247"/>
      <c r="B171" s="247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247"/>
      <c r="B172" s="247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247"/>
      <c r="B173" s="247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247"/>
      <c r="B174" s="247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247"/>
      <c r="B175" s="247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247"/>
      <c r="B176" s="247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247"/>
      <c r="B177" s="247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247"/>
      <c r="B178" s="247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247"/>
      <c r="B179" s="247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247"/>
      <c r="B180" s="247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247"/>
      <c r="B181" s="247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247"/>
      <c r="B182" s="247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247"/>
      <c r="B183" s="247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247"/>
      <c r="B184" s="247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247"/>
      <c r="B185" s="247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247"/>
      <c r="B186" s="247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247"/>
      <c r="B187" s="247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247"/>
      <c r="B188" s="247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247"/>
      <c r="B189" s="247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247"/>
      <c r="B190" s="247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247"/>
      <c r="B191" s="247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247"/>
      <c r="B192" s="247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247"/>
      <c r="B193" s="247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247"/>
      <c r="B194" s="247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247"/>
      <c r="B195" s="247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247"/>
      <c r="B196" s="247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247"/>
      <c r="B197" s="247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247"/>
      <c r="B198" s="247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247"/>
      <c r="B199" s="247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247"/>
      <c r="B200" s="247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247"/>
      <c r="B201" s="247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247"/>
      <c r="B202" s="247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247"/>
      <c r="B203" s="247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247"/>
      <c r="B204" s="247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247"/>
      <c r="B205" s="247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247"/>
      <c r="B206" s="247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247"/>
      <c r="B207" s="247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247"/>
      <c r="B208" s="247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247"/>
      <c r="B209" s="247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247"/>
      <c r="B210" s="247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247"/>
      <c r="B211" s="247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247"/>
      <c r="B212" s="247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247"/>
      <c r="B213" s="247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247"/>
      <c r="B214" s="247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247"/>
      <c r="B215" s="247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247"/>
      <c r="B216" s="247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247"/>
      <c r="B217" s="247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247"/>
      <c r="B218" s="247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247"/>
      <c r="B219" s="247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247"/>
      <c r="B220" s="247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247"/>
      <c r="B221" s="247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left="0.7" right="0.7" top="0.75" bottom="0.75" header="0" footer="0"/>
  <pageSetup useFirstPageNumber="1" paperSize="9" fitToHeight="0" pageOrder="overThenDown" orientation="landscape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2026-05-29T14:05:40Z</dcterms:created>
  <dcterms:modified xsi:type="dcterms:W3CDTF">2026-05-29T14:06:24Z</dcterms:modified>
</cp:coreProperties>
</file>